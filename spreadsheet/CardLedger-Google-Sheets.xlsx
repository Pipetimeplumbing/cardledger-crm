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Start Here" sheetId="5" state="visible" r:id="rId5"/>
  </sheets>
  <definedNames>
    <definedName name="_xlnm._FilterDatabase" localSheetId="1" hidden="1">'Inventory'!$A$1:$P$501</definedName>
    <definedName name="_xlnm.Print_Titles" localSheetId="1">'Inventory'!$1:$1</definedName>
    <definedName name="_xlnm._FilterDatabase" localSheetId="2" hidden="1">'Sales'!$A$1:$Q$501</definedName>
    <definedName name="_xlnm.Print_Titles" localSheetId="2">'Sales'!$1:$1</definedName>
    <definedName name="_xlnm._FilterDatabase" localSheetId="3" hidden="1">'Clients'!$A$1:$H$501</definedName>
    <definedName name="_xlnm.Print_Titles" localSheetId="3">'Clients'!$1:$1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name val="Calibri"/>
      <color rgb="0017243B"/>
      <sz val="11"/>
    </font>
    <font>
      <name val="Calibri"/>
      <color rgb="005168E8"/>
      <sz val="11"/>
    </font>
    <font>
      <b val="1"/>
      <color rgb="0017243B"/>
      <sz val="22"/>
    </font>
    <font>
      <color rgb="0077849A"/>
      <sz val="11"/>
    </font>
    <font>
      <color rgb="0017243B"/>
      <sz val="12"/>
    </font>
    <font>
      <b val="1"/>
      <color rgb="005168E8"/>
      <sz val="16"/>
    </font>
    <font>
      <color rgb="0077849A"/>
      <sz val="10"/>
    </font>
    <font>
      <color rgb="005168E8"/>
      <sz val="10"/>
    </font>
    <font>
      <name val="Calibri"/>
      <b val="1"/>
      <color rgb="0017243B"/>
      <sz val="12"/>
    </font>
  </fonts>
  <fills count="6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F8FAFD"/>
      </patternFill>
    </fill>
    <fill>
      <patternFill patternType="solid">
        <fgColor rgb="00FFFFFF"/>
      </patternFill>
    </fill>
    <fill>
      <patternFill patternType="solid">
        <fgColor rgb="00EF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5" borderId="0" pivotButton="0" quotePrefix="0" xfId="0"/>
    <xf numFmtId="164" fontId="7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3" fillId="5" borderId="0" pivotButton="0" quotePrefix="0" xfId="0"/>
    <xf numFmtId="164" fontId="3" fillId="5" borderId="0" pivotButton="0" quotePrefix="0" xfId="0"/>
    <xf numFmtId="49" fontId="2" fillId="4" borderId="0" pivotButton="0" quotePrefix="0" xfId="0"/>
    <xf numFmtId="0" fontId="2" fillId="4" borderId="0" pivotButton="0" quotePrefix="0" xfId="0"/>
    <xf numFmtId="164" fontId="2" fillId="4" borderId="0" pivotButton="0" quotePrefix="0" xfId="0"/>
    <xf numFmtId="165" fontId="2" fillId="3" borderId="0" pivotButton="0" quotePrefix="0" xfId="0"/>
    <xf numFmtId="165" fontId="2" fillId="4" borderId="0" pivotButton="0" quotePrefix="0" xfId="0"/>
    <xf numFmtId="0" fontId="1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CE7E7"/>
        </patternFill>
      </fill>
    </dxf>
    <dxf>
      <font>
        <color rgb="00BE414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5" customWidth="1" min="3" max="3"/>
    <col width="4" customWidth="1" min="4" max="4"/>
    <col width="28" customWidth="1" min="5" max="5"/>
    <col width="22" customWidth="1" min="6" max="6"/>
  </cols>
  <sheetData>
    <row r="2" ht="40" customHeight="1">
      <c r="B2" s="1" t="inlineStr">
        <is>
          <t>CARDLEDGER  |  COLLECTION CRM</t>
        </is>
      </c>
    </row>
    <row r="3">
      <c r="B3" s="2" t="inlineStr">
        <is>
          <t>Inventory, customers, sales, and profit in one workbook.</t>
        </is>
      </c>
    </row>
    <row r="6" ht="32" customHeight="1">
      <c r="B6" s="3" t="inlineStr">
        <is>
          <t>Pieces in stock</t>
        </is>
      </c>
      <c r="C6" s="4">
        <f>SUM(Inventory!L2:L501)</f>
        <v/>
      </c>
    </row>
    <row r="7" ht="32" customHeight="1">
      <c r="B7" s="3" t="inlineStr">
        <is>
          <t>Inventory purchase-cost value</t>
        </is>
      </c>
      <c r="C7" s="5">
        <f>SUM(Inventory!M2:M501)</f>
        <v/>
      </c>
    </row>
    <row r="8" ht="32" customHeight="1">
      <c r="B8" s="3" t="inlineStr">
        <is>
          <t>Estimated inventory market value</t>
        </is>
      </c>
      <c r="C8" s="5">
        <f>SUM(Inventory!N2:N501)</f>
        <v/>
      </c>
    </row>
    <row r="9" ht="32" customHeight="1">
      <c r="B9" s="3" t="inlineStr">
        <is>
          <t>Sales revenue</t>
        </is>
      </c>
      <c r="C9" s="5">
        <f>SUM(Sales!G2:G501)</f>
        <v/>
      </c>
    </row>
    <row r="10" ht="32" customHeight="1">
      <c r="B10" s="3" t="inlineStr">
        <is>
          <t>Realized profit</t>
        </is>
      </c>
      <c r="C10" s="5">
        <f>SUM(Sales!L2:L501)</f>
        <v/>
      </c>
    </row>
    <row r="11" ht="32" customHeight="1">
      <c r="B11" s="3" t="inlineStr">
        <is>
          <t>Pieces sold</t>
        </is>
      </c>
      <c r="C11" s="4">
        <f>SUM(Sales!E2:E501)</f>
        <v/>
      </c>
    </row>
    <row r="12" ht="32" customHeight="1">
      <c r="B12" s="3" t="inlineStr">
        <is>
          <t>Clients</t>
        </is>
      </c>
      <c r="C12" s="4">
        <f>COUNTA(Clients!A2:A501)</f>
        <v/>
      </c>
    </row>
    <row r="13" ht="32" customHeight="1">
      <c r="B13" s="3" t="inlineStr">
        <is>
          <t>Inventory / sales check flags</t>
        </is>
      </c>
      <c r="C13" s="4">
        <f>COUNTIF(Inventory!P2:P501,"?*")-COUNTIF(Inventory!P2:P501,"OK")+COUNTIF(Sales!Q2:Q501,"?*")-COUNTIF(Sales!Q2:Q501,"OK")+COUNTIF(Clients!H2:H501,"?*")-COUNTIF(Clients!H2:H501,"OK")</f>
        <v/>
      </c>
    </row>
    <row r="16">
      <c r="B16" s="6" t="inlineStr">
        <is>
          <t>Profit = revenue − card cost − fees − shipping. Excludes taxes and overhead.</t>
        </is>
      </c>
    </row>
    <row r="18">
      <c r="B18" s="7" t="inlineStr">
        <is>
          <t>Blue cells contain formulas. Enter data in the white cells on each tab.</t>
        </is>
      </c>
    </row>
  </sheetData>
  <mergeCells count="4">
    <mergeCell ref="B2:F2"/>
    <mergeCell ref="B16:F16"/>
    <mergeCell ref="B18:F18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 ht="34" customHeight="1">
      <c r="A1" s="8" t="inlineStr">
        <is>
          <t>Lot ID</t>
        </is>
      </c>
      <c r="B1" s="8" t="inlineStr">
        <is>
          <t>Player / Card</t>
        </is>
      </c>
      <c r="C1" s="8" t="inlineStr">
        <is>
          <t>Sport</t>
        </is>
      </c>
      <c r="D1" s="8" t="inlineStr">
        <is>
          <t>Year</t>
        </is>
      </c>
      <c r="E1" s="8" t="inlineStr">
        <is>
          <t>Brand / Set</t>
        </is>
      </c>
      <c r="F1" s="8" t="inlineStr">
        <is>
          <t>Card #</t>
        </is>
      </c>
      <c r="G1" s="8" t="inlineStr">
        <is>
          <t>Grade</t>
        </is>
      </c>
      <c r="H1" s="8" t="inlineStr">
        <is>
          <t>Pieces purchased</t>
        </is>
      </c>
      <c r="I1" s="8" t="inlineStr">
        <is>
          <t>Purchase cost / card</t>
        </is>
      </c>
      <c r="J1" s="8" t="inlineStr">
        <is>
          <t>Est. value / card</t>
        </is>
      </c>
      <c r="K1" s="8" t="inlineStr">
        <is>
          <t>Pieces sold</t>
        </is>
      </c>
      <c r="L1" s="8" t="inlineStr">
        <is>
          <t>Pieces in stock</t>
        </is>
      </c>
      <c r="M1" s="8" t="inlineStr">
        <is>
          <t>Inventory cost value</t>
        </is>
      </c>
      <c r="N1" s="8" t="inlineStr">
        <is>
          <t>Est. inventory value</t>
        </is>
      </c>
      <c r="O1" s="8" t="inlineStr">
        <is>
          <t>Notes</t>
        </is>
      </c>
      <c r="P1" s="8" t="inlineStr">
        <is>
          <t>Check</t>
        </is>
      </c>
    </row>
    <row r="2" ht="23" customHeight="1">
      <c r="A2" s="9" t="n"/>
      <c r="B2" s="10" t="n"/>
      <c r="C2" s="10" t="n"/>
      <c r="D2" s="10" t="n"/>
      <c r="E2" s="10" t="n"/>
      <c r="F2" s="9" t="n"/>
      <c r="G2" s="10" t="n"/>
      <c r="H2" s="10" t="n"/>
      <c r="I2" s="11" t="n"/>
      <c r="J2" s="11" t="n"/>
      <c r="K2" s="12">
        <f>IF(A2="","",SUMIF(Sales!$C$2:$C$501,A2,Sales!$E$2:$E$501))</f>
        <v/>
      </c>
      <c r="L2" s="12">
        <f>IF(A2="","",H2-K2)</f>
        <v/>
      </c>
      <c r="M2" s="13">
        <f>IF(A2="","",ROUND(L2*I2,2))</f>
        <v/>
      </c>
      <c r="N2" s="13">
        <f>IF(A2="","",ROUND(L2*J2,2))</f>
        <v/>
      </c>
      <c r="O2" s="10" t="n"/>
      <c r="P2" s="12">
        <f>IF(A2="","",IF(COUNTIF($A$2:$A$501,A2)&gt;1,"Duplicate lot ID",IF(OR(B2="",H2="",I2="",J2=""),"Complete required fields",IF(L2&lt;0,"OVER SOLD","OK"))))</f>
        <v/>
      </c>
    </row>
    <row r="3" ht="23" customHeight="1">
      <c r="A3" s="14" t="n"/>
      <c r="B3" s="15" t="n"/>
      <c r="C3" s="15" t="n"/>
      <c r="D3" s="15" t="n"/>
      <c r="E3" s="15" t="n"/>
      <c r="F3" s="14" t="n"/>
      <c r="G3" s="15" t="n"/>
      <c r="H3" s="15" t="n"/>
      <c r="I3" s="16" t="n"/>
      <c r="J3" s="16" t="n"/>
      <c r="K3" s="12">
        <f>IF(A3="","",SUMIF(Sales!$C$2:$C$501,A3,Sales!$E$2:$E$501))</f>
        <v/>
      </c>
      <c r="L3" s="12">
        <f>IF(A3="","",H3-K3)</f>
        <v/>
      </c>
      <c r="M3" s="13">
        <f>IF(A3="","",ROUND(L3*I3,2))</f>
        <v/>
      </c>
      <c r="N3" s="13">
        <f>IF(A3="","",ROUND(L3*J3,2))</f>
        <v/>
      </c>
      <c r="O3" s="15" t="n"/>
      <c r="P3" s="12">
        <f>IF(A3="","",IF(COUNTIF($A$2:$A$501,A3)&gt;1,"Duplicate lot ID",IF(OR(B3="",H3="",I3="",J3=""),"Complete required fields",IF(L3&lt;0,"OVER SOLD","OK"))))</f>
        <v/>
      </c>
    </row>
    <row r="4" ht="23" customHeight="1">
      <c r="A4" s="9" t="n"/>
      <c r="B4" s="10" t="n"/>
      <c r="C4" s="10" t="n"/>
      <c r="D4" s="10" t="n"/>
      <c r="E4" s="10" t="n"/>
      <c r="F4" s="9" t="n"/>
      <c r="G4" s="10" t="n"/>
      <c r="H4" s="10" t="n"/>
      <c r="I4" s="11" t="n"/>
      <c r="J4" s="11" t="n"/>
      <c r="K4" s="12">
        <f>IF(A4="","",SUMIF(Sales!$C$2:$C$501,A4,Sales!$E$2:$E$501))</f>
        <v/>
      </c>
      <c r="L4" s="12">
        <f>IF(A4="","",H4-K4)</f>
        <v/>
      </c>
      <c r="M4" s="13">
        <f>IF(A4="","",ROUND(L4*I4,2))</f>
        <v/>
      </c>
      <c r="N4" s="13">
        <f>IF(A4="","",ROUND(L4*J4,2))</f>
        <v/>
      </c>
      <c r="O4" s="10" t="n"/>
      <c r="P4" s="12">
        <f>IF(A4="","",IF(COUNTIF($A$2:$A$501,A4)&gt;1,"Duplicate lot ID",IF(OR(B4="",H4="",I4="",J4=""),"Complete required fields",IF(L4&lt;0,"OVER SOLD","OK"))))</f>
        <v/>
      </c>
    </row>
    <row r="5" ht="23" customHeight="1">
      <c r="A5" s="14" t="n"/>
      <c r="B5" s="15" t="n"/>
      <c r="C5" s="15" t="n"/>
      <c r="D5" s="15" t="n"/>
      <c r="E5" s="15" t="n"/>
      <c r="F5" s="14" t="n"/>
      <c r="G5" s="15" t="n"/>
      <c r="H5" s="15" t="n"/>
      <c r="I5" s="16" t="n"/>
      <c r="J5" s="16" t="n"/>
      <c r="K5" s="12">
        <f>IF(A5="","",SUMIF(Sales!$C$2:$C$501,A5,Sales!$E$2:$E$501))</f>
        <v/>
      </c>
      <c r="L5" s="12">
        <f>IF(A5="","",H5-K5)</f>
        <v/>
      </c>
      <c r="M5" s="13">
        <f>IF(A5="","",ROUND(L5*I5,2))</f>
        <v/>
      </c>
      <c r="N5" s="13">
        <f>IF(A5="","",ROUND(L5*J5,2))</f>
        <v/>
      </c>
      <c r="O5" s="15" t="n"/>
      <c r="P5" s="12">
        <f>IF(A5="","",IF(COUNTIF($A$2:$A$501,A5)&gt;1,"Duplicate lot ID",IF(OR(B5="",H5="",I5="",J5=""),"Complete required fields",IF(L5&lt;0,"OVER SOLD","OK"))))</f>
        <v/>
      </c>
    </row>
    <row r="6" ht="23" customHeight="1">
      <c r="A6" s="9" t="n"/>
      <c r="B6" s="10" t="n"/>
      <c r="C6" s="10" t="n"/>
      <c r="D6" s="10" t="n"/>
      <c r="E6" s="10" t="n"/>
      <c r="F6" s="9" t="n"/>
      <c r="G6" s="10" t="n"/>
      <c r="H6" s="10" t="n"/>
      <c r="I6" s="11" t="n"/>
      <c r="J6" s="11" t="n"/>
      <c r="K6" s="12">
        <f>IF(A6="","",SUMIF(Sales!$C$2:$C$501,A6,Sales!$E$2:$E$501))</f>
        <v/>
      </c>
      <c r="L6" s="12">
        <f>IF(A6="","",H6-K6)</f>
        <v/>
      </c>
      <c r="M6" s="13">
        <f>IF(A6="","",ROUND(L6*I6,2))</f>
        <v/>
      </c>
      <c r="N6" s="13">
        <f>IF(A6="","",ROUND(L6*J6,2))</f>
        <v/>
      </c>
      <c r="O6" s="10" t="n"/>
      <c r="P6" s="12">
        <f>IF(A6="","",IF(COUNTIF($A$2:$A$501,A6)&gt;1,"Duplicate lot ID",IF(OR(B6="",H6="",I6="",J6=""),"Complete required fields",IF(L6&lt;0,"OVER SOLD","OK"))))</f>
        <v/>
      </c>
    </row>
    <row r="7" ht="23" customHeight="1">
      <c r="A7" s="14" t="n"/>
      <c r="B7" s="15" t="n"/>
      <c r="C7" s="15" t="n"/>
      <c r="D7" s="15" t="n"/>
      <c r="E7" s="15" t="n"/>
      <c r="F7" s="14" t="n"/>
      <c r="G7" s="15" t="n"/>
      <c r="H7" s="15" t="n"/>
      <c r="I7" s="16" t="n"/>
      <c r="J7" s="16" t="n"/>
      <c r="K7" s="12">
        <f>IF(A7="","",SUMIF(Sales!$C$2:$C$501,A7,Sales!$E$2:$E$501))</f>
        <v/>
      </c>
      <c r="L7" s="12">
        <f>IF(A7="","",H7-K7)</f>
        <v/>
      </c>
      <c r="M7" s="13">
        <f>IF(A7="","",ROUND(L7*I7,2))</f>
        <v/>
      </c>
      <c r="N7" s="13">
        <f>IF(A7="","",ROUND(L7*J7,2))</f>
        <v/>
      </c>
      <c r="O7" s="15" t="n"/>
      <c r="P7" s="12">
        <f>IF(A7="","",IF(COUNTIF($A$2:$A$501,A7)&gt;1,"Duplicate lot ID",IF(OR(B7="",H7="",I7="",J7=""),"Complete required fields",IF(L7&lt;0,"OVER SOLD","OK"))))</f>
        <v/>
      </c>
    </row>
    <row r="8" ht="23" customHeight="1">
      <c r="A8" s="9" t="n"/>
      <c r="B8" s="10" t="n"/>
      <c r="C8" s="10" t="n"/>
      <c r="D8" s="10" t="n"/>
      <c r="E8" s="10" t="n"/>
      <c r="F8" s="9" t="n"/>
      <c r="G8" s="10" t="n"/>
      <c r="H8" s="10" t="n"/>
      <c r="I8" s="11" t="n"/>
      <c r="J8" s="11" t="n"/>
      <c r="K8" s="12">
        <f>IF(A8="","",SUMIF(Sales!$C$2:$C$501,A8,Sales!$E$2:$E$501))</f>
        <v/>
      </c>
      <c r="L8" s="12">
        <f>IF(A8="","",H8-K8)</f>
        <v/>
      </c>
      <c r="M8" s="13">
        <f>IF(A8="","",ROUND(L8*I8,2))</f>
        <v/>
      </c>
      <c r="N8" s="13">
        <f>IF(A8="","",ROUND(L8*J8,2))</f>
        <v/>
      </c>
      <c r="O8" s="10" t="n"/>
      <c r="P8" s="12">
        <f>IF(A8="","",IF(COUNTIF($A$2:$A$501,A8)&gt;1,"Duplicate lot ID",IF(OR(B8="",H8="",I8="",J8=""),"Complete required fields",IF(L8&lt;0,"OVER SOLD","OK"))))</f>
        <v/>
      </c>
    </row>
    <row r="9" ht="23" customHeight="1">
      <c r="A9" s="14" t="n"/>
      <c r="B9" s="15" t="n"/>
      <c r="C9" s="15" t="n"/>
      <c r="D9" s="15" t="n"/>
      <c r="E9" s="15" t="n"/>
      <c r="F9" s="14" t="n"/>
      <c r="G9" s="15" t="n"/>
      <c r="H9" s="15" t="n"/>
      <c r="I9" s="16" t="n"/>
      <c r="J9" s="16" t="n"/>
      <c r="K9" s="12">
        <f>IF(A9="","",SUMIF(Sales!$C$2:$C$501,A9,Sales!$E$2:$E$501))</f>
        <v/>
      </c>
      <c r="L9" s="12">
        <f>IF(A9="","",H9-K9)</f>
        <v/>
      </c>
      <c r="M9" s="13">
        <f>IF(A9="","",ROUND(L9*I9,2))</f>
        <v/>
      </c>
      <c r="N9" s="13">
        <f>IF(A9="","",ROUND(L9*J9,2))</f>
        <v/>
      </c>
      <c r="O9" s="15" t="n"/>
      <c r="P9" s="12">
        <f>IF(A9="","",IF(COUNTIF($A$2:$A$501,A9)&gt;1,"Duplicate lot ID",IF(OR(B9="",H9="",I9="",J9=""),"Complete required fields",IF(L9&lt;0,"OVER SOLD","OK"))))</f>
        <v/>
      </c>
    </row>
    <row r="10" ht="23" customHeight="1">
      <c r="A10" s="9" t="n"/>
      <c r="B10" s="10" t="n"/>
      <c r="C10" s="10" t="n"/>
      <c r="D10" s="10" t="n"/>
      <c r="E10" s="10" t="n"/>
      <c r="F10" s="9" t="n"/>
      <c r="G10" s="10" t="n"/>
      <c r="H10" s="10" t="n"/>
      <c r="I10" s="11" t="n"/>
      <c r="J10" s="11" t="n"/>
      <c r="K10" s="12">
        <f>IF(A10="","",SUMIF(Sales!$C$2:$C$501,A10,Sales!$E$2:$E$501))</f>
        <v/>
      </c>
      <c r="L10" s="12">
        <f>IF(A10="","",H10-K10)</f>
        <v/>
      </c>
      <c r="M10" s="13">
        <f>IF(A10="","",ROUND(L10*I10,2))</f>
        <v/>
      </c>
      <c r="N10" s="13">
        <f>IF(A10="","",ROUND(L10*J10,2))</f>
        <v/>
      </c>
      <c r="O10" s="10" t="n"/>
      <c r="P10" s="12">
        <f>IF(A10="","",IF(COUNTIF($A$2:$A$501,A10)&gt;1,"Duplicate lot ID",IF(OR(B10="",H10="",I10="",J10=""),"Complete required fields",IF(L10&lt;0,"OVER SOLD","OK"))))</f>
        <v/>
      </c>
    </row>
    <row r="11" ht="23" customHeight="1">
      <c r="A11" s="14" t="n"/>
      <c r="B11" s="15" t="n"/>
      <c r="C11" s="15" t="n"/>
      <c r="D11" s="15" t="n"/>
      <c r="E11" s="15" t="n"/>
      <c r="F11" s="14" t="n"/>
      <c r="G11" s="15" t="n"/>
      <c r="H11" s="15" t="n"/>
      <c r="I11" s="16" t="n"/>
      <c r="J11" s="16" t="n"/>
      <c r="K11" s="12">
        <f>IF(A11="","",SUMIF(Sales!$C$2:$C$501,A11,Sales!$E$2:$E$501))</f>
        <v/>
      </c>
      <c r="L11" s="12">
        <f>IF(A11="","",H11-K11)</f>
        <v/>
      </c>
      <c r="M11" s="13">
        <f>IF(A11="","",ROUND(L11*I11,2))</f>
        <v/>
      </c>
      <c r="N11" s="13">
        <f>IF(A11="","",ROUND(L11*J11,2))</f>
        <v/>
      </c>
      <c r="O11" s="15" t="n"/>
      <c r="P11" s="12">
        <f>IF(A11="","",IF(COUNTIF($A$2:$A$501,A11)&gt;1,"Duplicate lot ID",IF(OR(B11="",H11="",I11="",J11=""),"Complete required fields",IF(L11&lt;0,"OVER SOLD","OK"))))</f>
        <v/>
      </c>
    </row>
    <row r="12" ht="23" customHeight="1">
      <c r="A12" s="9" t="n"/>
      <c r="B12" s="10" t="n"/>
      <c r="C12" s="10" t="n"/>
      <c r="D12" s="10" t="n"/>
      <c r="E12" s="10" t="n"/>
      <c r="F12" s="9" t="n"/>
      <c r="G12" s="10" t="n"/>
      <c r="H12" s="10" t="n"/>
      <c r="I12" s="11" t="n"/>
      <c r="J12" s="11" t="n"/>
      <c r="K12" s="12">
        <f>IF(A12="","",SUMIF(Sales!$C$2:$C$501,A12,Sales!$E$2:$E$501))</f>
        <v/>
      </c>
      <c r="L12" s="12">
        <f>IF(A12="","",H12-K12)</f>
        <v/>
      </c>
      <c r="M12" s="13">
        <f>IF(A12="","",ROUND(L12*I12,2))</f>
        <v/>
      </c>
      <c r="N12" s="13">
        <f>IF(A12="","",ROUND(L12*J12,2))</f>
        <v/>
      </c>
      <c r="O12" s="10" t="n"/>
      <c r="P12" s="12">
        <f>IF(A12="","",IF(COUNTIF($A$2:$A$501,A12)&gt;1,"Duplicate lot ID",IF(OR(B12="",H12="",I12="",J12=""),"Complete required fields",IF(L12&lt;0,"OVER SOLD","OK"))))</f>
        <v/>
      </c>
    </row>
    <row r="13" ht="23" customHeight="1">
      <c r="A13" s="14" t="n"/>
      <c r="B13" s="15" t="n"/>
      <c r="C13" s="15" t="n"/>
      <c r="D13" s="15" t="n"/>
      <c r="E13" s="15" t="n"/>
      <c r="F13" s="14" t="n"/>
      <c r="G13" s="15" t="n"/>
      <c r="H13" s="15" t="n"/>
      <c r="I13" s="16" t="n"/>
      <c r="J13" s="16" t="n"/>
      <c r="K13" s="12">
        <f>IF(A13="","",SUMIF(Sales!$C$2:$C$501,A13,Sales!$E$2:$E$501))</f>
        <v/>
      </c>
      <c r="L13" s="12">
        <f>IF(A13="","",H13-K13)</f>
        <v/>
      </c>
      <c r="M13" s="13">
        <f>IF(A13="","",ROUND(L13*I13,2))</f>
        <v/>
      </c>
      <c r="N13" s="13">
        <f>IF(A13="","",ROUND(L13*J13,2))</f>
        <v/>
      </c>
      <c r="O13" s="15" t="n"/>
      <c r="P13" s="12">
        <f>IF(A13="","",IF(COUNTIF($A$2:$A$501,A13)&gt;1,"Duplicate lot ID",IF(OR(B13="",H13="",I13="",J13=""),"Complete required fields",IF(L13&lt;0,"OVER SOLD","OK"))))</f>
        <v/>
      </c>
    </row>
    <row r="14" ht="23" customHeight="1">
      <c r="A14" s="9" t="n"/>
      <c r="B14" s="10" t="n"/>
      <c r="C14" s="10" t="n"/>
      <c r="D14" s="10" t="n"/>
      <c r="E14" s="10" t="n"/>
      <c r="F14" s="9" t="n"/>
      <c r="G14" s="10" t="n"/>
      <c r="H14" s="10" t="n"/>
      <c r="I14" s="11" t="n"/>
      <c r="J14" s="11" t="n"/>
      <c r="K14" s="12">
        <f>IF(A14="","",SUMIF(Sales!$C$2:$C$501,A14,Sales!$E$2:$E$501))</f>
        <v/>
      </c>
      <c r="L14" s="12">
        <f>IF(A14="","",H14-K14)</f>
        <v/>
      </c>
      <c r="M14" s="13">
        <f>IF(A14="","",ROUND(L14*I14,2))</f>
        <v/>
      </c>
      <c r="N14" s="13">
        <f>IF(A14="","",ROUND(L14*J14,2))</f>
        <v/>
      </c>
      <c r="O14" s="10" t="n"/>
      <c r="P14" s="12">
        <f>IF(A14="","",IF(COUNTIF($A$2:$A$501,A14)&gt;1,"Duplicate lot ID",IF(OR(B14="",H14="",I14="",J14=""),"Complete required fields",IF(L14&lt;0,"OVER SOLD","OK"))))</f>
        <v/>
      </c>
    </row>
    <row r="15" ht="23" customHeight="1">
      <c r="A15" s="14" t="n"/>
      <c r="B15" s="15" t="n"/>
      <c r="C15" s="15" t="n"/>
      <c r="D15" s="15" t="n"/>
      <c r="E15" s="15" t="n"/>
      <c r="F15" s="14" t="n"/>
      <c r="G15" s="15" t="n"/>
      <c r="H15" s="15" t="n"/>
      <c r="I15" s="16" t="n"/>
      <c r="J15" s="16" t="n"/>
      <c r="K15" s="12">
        <f>IF(A15="","",SUMIF(Sales!$C$2:$C$501,A15,Sales!$E$2:$E$501))</f>
        <v/>
      </c>
      <c r="L15" s="12">
        <f>IF(A15="","",H15-K15)</f>
        <v/>
      </c>
      <c r="M15" s="13">
        <f>IF(A15="","",ROUND(L15*I15,2))</f>
        <v/>
      </c>
      <c r="N15" s="13">
        <f>IF(A15="","",ROUND(L15*J15,2))</f>
        <v/>
      </c>
      <c r="O15" s="15" t="n"/>
      <c r="P15" s="12">
        <f>IF(A15="","",IF(COUNTIF($A$2:$A$501,A15)&gt;1,"Duplicate lot ID",IF(OR(B15="",H15="",I15="",J15=""),"Complete required fields",IF(L15&lt;0,"OVER SOLD","OK"))))</f>
        <v/>
      </c>
    </row>
    <row r="16" ht="23" customHeight="1">
      <c r="A16" s="9" t="n"/>
      <c r="B16" s="10" t="n"/>
      <c r="C16" s="10" t="n"/>
      <c r="D16" s="10" t="n"/>
      <c r="E16" s="10" t="n"/>
      <c r="F16" s="9" t="n"/>
      <c r="G16" s="10" t="n"/>
      <c r="H16" s="10" t="n"/>
      <c r="I16" s="11" t="n"/>
      <c r="J16" s="11" t="n"/>
      <c r="K16" s="12">
        <f>IF(A16="","",SUMIF(Sales!$C$2:$C$501,A16,Sales!$E$2:$E$501))</f>
        <v/>
      </c>
      <c r="L16" s="12">
        <f>IF(A16="","",H16-K16)</f>
        <v/>
      </c>
      <c r="M16" s="13">
        <f>IF(A16="","",ROUND(L16*I16,2))</f>
        <v/>
      </c>
      <c r="N16" s="13">
        <f>IF(A16="","",ROUND(L16*J16,2))</f>
        <v/>
      </c>
      <c r="O16" s="10" t="n"/>
      <c r="P16" s="12">
        <f>IF(A16="","",IF(COUNTIF($A$2:$A$501,A16)&gt;1,"Duplicate lot ID",IF(OR(B16="",H16="",I16="",J16=""),"Complete required fields",IF(L16&lt;0,"OVER SOLD","OK"))))</f>
        <v/>
      </c>
    </row>
    <row r="17" ht="23" customHeight="1">
      <c r="A17" s="14" t="n"/>
      <c r="B17" s="15" t="n"/>
      <c r="C17" s="15" t="n"/>
      <c r="D17" s="15" t="n"/>
      <c r="E17" s="15" t="n"/>
      <c r="F17" s="14" t="n"/>
      <c r="G17" s="15" t="n"/>
      <c r="H17" s="15" t="n"/>
      <c r="I17" s="16" t="n"/>
      <c r="J17" s="16" t="n"/>
      <c r="K17" s="12">
        <f>IF(A17="","",SUMIF(Sales!$C$2:$C$501,A17,Sales!$E$2:$E$501))</f>
        <v/>
      </c>
      <c r="L17" s="12">
        <f>IF(A17="","",H17-K17)</f>
        <v/>
      </c>
      <c r="M17" s="13">
        <f>IF(A17="","",ROUND(L17*I17,2))</f>
        <v/>
      </c>
      <c r="N17" s="13">
        <f>IF(A17="","",ROUND(L17*J17,2))</f>
        <v/>
      </c>
      <c r="O17" s="15" t="n"/>
      <c r="P17" s="12">
        <f>IF(A17="","",IF(COUNTIF($A$2:$A$501,A17)&gt;1,"Duplicate lot ID",IF(OR(B17="",H17="",I17="",J17=""),"Complete required fields",IF(L17&lt;0,"OVER SOLD","OK"))))</f>
        <v/>
      </c>
    </row>
    <row r="18" ht="23" customHeight="1">
      <c r="A18" s="9" t="n"/>
      <c r="B18" s="10" t="n"/>
      <c r="C18" s="10" t="n"/>
      <c r="D18" s="10" t="n"/>
      <c r="E18" s="10" t="n"/>
      <c r="F18" s="9" t="n"/>
      <c r="G18" s="10" t="n"/>
      <c r="H18" s="10" t="n"/>
      <c r="I18" s="11" t="n"/>
      <c r="J18" s="11" t="n"/>
      <c r="K18" s="12">
        <f>IF(A18="","",SUMIF(Sales!$C$2:$C$501,A18,Sales!$E$2:$E$501))</f>
        <v/>
      </c>
      <c r="L18" s="12">
        <f>IF(A18="","",H18-K18)</f>
        <v/>
      </c>
      <c r="M18" s="13">
        <f>IF(A18="","",ROUND(L18*I18,2))</f>
        <v/>
      </c>
      <c r="N18" s="13">
        <f>IF(A18="","",ROUND(L18*J18,2))</f>
        <v/>
      </c>
      <c r="O18" s="10" t="n"/>
      <c r="P18" s="12">
        <f>IF(A18="","",IF(COUNTIF($A$2:$A$501,A18)&gt;1,"Duplicate lot ID",IF(OR(B18="",H18="",I18="",J18=""),"Complete required fields",IF(L18&lt;0,"OVER SOLD","OK"))))</f>
        <v/>
      </c>
    </row>
    <row r="19" ht="23" customHeight="1">
      <c r="A19" s="14" t="n"/>
      <c r="B19" s="15" t="n"/>
      <c r="C19" s="15" t="n"/>
      <c r="D19" s="15" t="n"/>
      <c r="E19" s="15" t="n"/>
      <c r="F19" s="14" t="n"/>
      <c r="G19" s="15" t="n"/>
      <c r="H19" s="15" t="n"/>
      <c r="I19" s="16" t="n"/>
      <c r="J19" s="16" t="n"/>
      <c r="K19" s="12">
        <f>IF(A19="","",SUMIF(Sales!$C$2:$C$501,A19,Sales!$E$2:$E$501))</f>
        <v/>
      </c>
      <c r="L19" s="12">
        <f>IF(A19="","",H19-K19)</f>
        <v/>
      </c>
      <c r="M19" s="13">
        <f>IF(A19="","",ROUND(L19*I19,2))</f>
        <v/>
      </c>
      <c r="N19" s="13">
        <f>IF(A19="","",ROUND(L19*J19,2))</f>
        <v/>
      </c>
      <c r="O19" s="15" t="n"/>
      <c r="P19" s="12">
        <f>IF(A19="","",IF(COUNTIF($A$2:$A$501,A19)&gt;1,"Duplicate lot ID",IF(OR(B19="",H19="",I19="",J19=""),"Complete required fields",IF(L19&lt;0,"OVER SOLD","OK"))))</f>
        <v/>
      </c>
    </row>
    <row r="20" ht="23" customHeight="1">
      <c r="A20" s="9" t="n"/>
      <c r="B20" s="10" t="n"/>
      <c r="C20" s="10" t="n"/>
      <c r="D20" s="10" t="n"/>
      <c r="E20" s="10" t="n"/>
      <c r="F20" s="9" t="n"/>
      <c r="G20" s="10" t="n"/>
      <c r="H20" s="10" t="n"/>
      <c r="I20" s="11" t="n"/>
      <c r="J20" s="11" t="n"/>
      <c r="K20" s="12">
        <f>IF(A20="","",SUMIF(Sales!$C$2:$C$501,A20,Sales!$E$2:$E$501))</f>
        <v/>
      </c>
      <c r="L20" s="12">
        <f>IF(A20="","",H20-K20)</f>
        <v/>
      </c>
      <c r="M20" s="13">
        <f>IF(A20="","",ROUND(L20*I20,2))</f>
        <v/>
      </c>
      <c r="N20" s="13">
        <f>IF(A20="","",ROUND(L20*J20,2))</f>
        <v/>
      </c>
      <c r="O20" s="10" t="n"/>
      <c r="P20" s="12">
        <f>IF(A20="","",IF(COUNTIF($A$2:$A$501,A20)&gt;1,"Duplicate lot ID",IF(OR(B20="",H20="",I20="",J20=""),"Complete required fields",IF(L20&lt;0,"OVER SOLD","OK"))))</f>
        <v/>
      </c>
    </row>
    <row r="21" ht="23" customHeight="1">
      <c r="A21" s="14" t="n"/>
      <c r="B21" s="15" t="n"/>
      <c r="C21" s="15" t="n"/>
      <c r="D21" s="15" t="n"/>
      <c r="E21" s="15" t="n"/>
      <c r="F21" s="14" t="n"/>
      <c r="G21" s="15" t="n"/>
      <c r="H21" s="15" t="n"/>
      <c r="I21" s="16" t="n"/>
      <c r="J21" s="16" t="n"/>
      <c r="K21" s="12">
        <f>IF(A21="","",SUMIF(Sales!$C$2:$C$501,A21,Sales!$E$2:$E$501))</f>
        <v/>
      </c>
      <c r="L21" s="12">
        <f>IF(A21="","",H21-K21)</f>
        <v/>
      </c>
      <c r="M21" s="13">
        <f>IF(A21="","",ROUND(L21*I21,2))</f>
        <v/>
      </c>
      <c r="N21" s="13">
        <f>IF(A21="","",ROUND(L21*J21,2))</f>
        <v/>
      </c>
      <c r="O21" s="15" t="n"/>
      <c r="P21" s="12">
        <f>IF(A21="","",IF(COUNTIF($A$2:$A$501,A21)&gt;1,"Duplicate lot ID",IF(OR(B21="",H21="",I21="",J21=""),"Complete required fields",IF(L21&lt;0,"OVER SOLD","OK"))))</f>
        <v/>
      </c>
    </row>
    <row r="22" ht="23" customHeight="1">
      <c r="A22" s="9" t="n"/>
      <c r="B22" s="10" t="n"/>
      <c r="C22" s="10" t="n"/>
      <c r="D22" s="10" t="n"/>
      <c r="E22" s="10" t="n"/>
      <c r="F22" s="9" t="n"/>
      <c r="G22" s="10" t="n"/>
      <c r="H22" s="10" t="n"/>
      <c r="I22" s="11" t="n"/>
      <c r="J22" s="11" t="n"/>
      <c r="K22" s="12">
        <f>IF(A22="","",SUMIF(Sales!$C$2:$C$501,A22,Sales!$E$2:$E$501))</f>
        <v/>
      </c>
      <c r="L22" s="12">
        <f>IF(A22="","",H22-K22)</f>
        <v/>
      </c>
      <c r="M22" s="13">
        <f>IF(A22="","",ROUND(L22*I22,2))</f>
        <v/>
      </c>
      <c r="N22" s="13">
        <f>IF(A22="","",ROUND(L22*J22,2))</f>
        <v/>
      </c>
      <c r="O22" s="10" t="n"/>
      <c r="P22" s="12">
        <f>IF(A22="","",IF(COUNTIF($A$2:$A$501,A22)&gt;1,"Duplicate lot ID",IF(OR(B22="",H22="",I22="",J22=""),"Complete required fields",IF(L22&lt;0,"OVER SOLD","OK"))))</f>
        <v/>
      </c>
    </row>
    <row r="23" ht="23" customHeight="1">
      <c r="A23" s="14" t="n"/>
      <c r="B23" s="15" t="n"/>
      <c r="C23" s="15" t="n"/>
      <c r="D23" s="15" t="n"/>
      <c r="E23" s="15" t="n"/>
      <c r="F23" s="14" t="n"/>
      <c r="G23" s="15" t="n"/>
      <c r="H23" s="15" t="n"/>
      <c r="I23" s="16" t="n"/>
      <c r="J23" s="16" t="n"/>
      <c r="K23" s="12">
        <f>IF(A23="","",SUMIF(Sales!$C$2:$C$501,A23,Sales!$E$2:$E$501))</f>
        <v/>
      </c>
      <c r="L23" s="12">
        <f>IF(A23="","",H23-K23)</f>
        <v/>
      </c>
      <c r="M23" s="13">
        <f>IF(A23="","",ROUND(L23*I23,2))</f>
        <v/>
      </c>
      <c r="N23" s="13">
        <f>IF(A23="","",ROUND(L23*J23,2))</f>
        <v/>
      </c>
      <c r="O23" s="15" t="n"/>
      <c r="P23" s="12">
        <f>IF(A23="","",IF(COUNTIF($A$2:$A$501,A23)&gt;1,"Duplicate lot ID",IF(OR(B23="",H23="",I23="",J23=""),"Complete required fields",IF(L23&lt;0,"OVER SOLD","OK"))))</f>
        <v/>
      </c>
    </row>
    <row r="24" ht="23" customHeight="1">
      <c r="A24" s="9" t="n"/>
      <c r="B24" s="10" t="n"/>
      <c r="C24" s="10" t="n"/>
      <c r="D24" s="10" t="n"/>
      <c r="E24" s="10" t="n"/>
      <c r="F24" s="9" t="n"/>
      <c r="G24" s="10" t="n"/>
      <c r="H24" s="10" t="n"/>
      <c r="I24" s="11" t="n"/>
      <c r="J24" s="11" t="n"/>
      <c r="K24" s="12">
        <f>IF(A24="","",SUMIF(Sales!$C$2:$C$501,A24,Sales!$E$2:$E$501))</f>
        <v/>
      </c>
      <c r="L24" s="12">
        <f>IF(A24="","",H24-K24)</f>
        <v/>
      </c>
      <c r="M24" s="13">
        <f>IF(A24="","",ROUND(L24*I24,2))</f>
        <v/>
      </c>
      <c r="N24" s="13">
        <f>IF(A24="","",ROUND(L24*J24,2))</f>
        <v/>
      </c>
      <c r="O24" s="10" t="n"/>
      <c r="P24" s="12">
        <f>IF(A24="","",IF(COUNTIF($A$2:$A$501,A24)&gt;1,"Duplicate lot ID",IF(OR(B24="",H24="",I24="",J24=""),"Complete required fields",IF(L24&lt;0,"OVER SOLD","OK"))))</f>
        <v/>
      </c>
    </row>
    <row r="25" ht="23" customHeight="1">
      <c r="A25" s="14" t="n"/>
      <c r="B25" s="15" t="n"/>
      <c r="C25" s="15" t="n"/>
      <c r="D25" s="15" t="n"/>
      <c r="E25" s="15" t="n"/>
      <c r="F25" s="14" t="n"/>
      <c r="G25" s="15" t="n"/>
      <c r="H25" s="15" t="n"/>
      <c r="I25" s="16" t="n"/>
      <c r="J25" s="16" t="n"/>
      <c r="K25" s="12">
        <f>IF(A25="","",SUMIF(Sales!$C$2:$C$501,A25,Sales!$E$2:$E$501))</f>
        <v/>
      </c>
      <c r="L25" s="12">
        <f>IF(A25="","",H25-K25)</f>
        <v/>
      </c>
      <c r="M25" s="13">
        <f>IF(A25="","",ROUND(L25*I25,2))</f>
        <v/>
      </c>
      <c r="N25" s="13">
        <f>IF(A25="","",ROUND(L25*J25,2))</f>
        <v/>
      </c>
      <c r="O25" s="15" t="n"/>
      <c r="P25" s="12">
        <f>IF(A25="","",IF(COUNTIF($A$2:$A$501,A25)&gt;1,"Duplicate lot ID",IF(OR(B25="",H25="",I25="",J25=""),"Complete required fields",IF(L25&lt;0,"OVER SOLD","OK"))))</f>
        <v/>
      </c>
    </row>
    <row r="26" ht="23" customHeight="1">
      <c r="A26" s="9" t="n"/>
      <c r="B26" s="10" t="n"/>
      <c r="C26" s="10" t="n"/>
      <c r="D26" s="10" t="n"/>
      <c r="E26" s="10" t="n"/>
      <c r="F26" s="9" t="n"/>
      <c r="G26" s="10" t="n"/>
      <c r="H26" s="10" t="n"/>
      <c r="I26" s="11" t="n"/>
      <c r="J26" s="11" t="n"/>
      <c r="K26" s="12">
        <f>IF(A26="","",SUMIF(Sales!$C$2:$C$501,A26,Sales!$E$2:$E$501))</f>
        <v/>
      </c>
      <c r="L26" s="12">
        <f>IF(A26="","",H26-K26)</f>
        <v/>
      </c>
      <c r="M26" s="13">
        <f>IF(A26="","",ROUND(L26*I26,2))</f>
        <v/>
      </c>
      <c r="N26" s="13">
        <f>IF(A26="","",ROUND(L26*J26,2))</f>
        <v/>
      </c>
      <c r="O26" s="10" t="n"/>
      <c r="P26" s="12">
        <f>IF(A26="","",IF(COUNTIF($A$2:$A$501,A26)&gt;1,"Duplicate lot ID",IF(OR(B26="",H26="",I26="",J26=""),"Complete required fields",IF(L26&lt;0,"OVER SOLD","OK"))))</f>
        <v/>
      </c>
    </row>
    <row r="27" ht="23" customHeight="1">
      <c r="A27" s="14" t="n"/>
      <c r="B27" s="15" t="n"/>
      <c r="C27" s="15" t="n"/>
      <c r="D27" s="15" t="n"/>
      <c r="E27" s="15" t="n"/>
      <c r="F27" s="14" t="n"/>
      <c r="G27" s="15" t="n"/>
      <c r="H27" s="15" t="n"/>
      <c r="I27" s="16" t="n"/>
      <c r="J27" s="16" t="n"/>
      <c r="K27" s="12">
        <f>IF(A27="","",SUMIF(Sales!$C$2:$C$501,A27,Sales!$E$2:$E$501))</f>
        <v/>
      </c>
      <c r="L27" s="12">
        <f>IF(A27="","",H27-K27)</f>
        <v/>
      </c>
      <c r="M27" s="13">
        <f>IF(A27="","",ROUND(L27*I27,2))</f>
        <v/>
      </c>
      <c r="N27" s="13">
        <f>IF(A27="","",ROUND(L27*J27,2))</f>
        <v/>
      </c>
      <c r="O27" s="15" t="n"/>
      <c r="P27" s="12">
        <f>IF(A27="","",IF(COUNTIF($A$2:$A$501,A27)&gt;1,"Duplicate lot ID",IF(OR(B27="",H27="",I27="",J27=""),"Complete required fields",IF(L27&lt;0,"OVER SOLD","OK"))))</f>
        <v/>
      </c>
    </row>
    <row r="28" ht="23" customHeight="1">
      <c r="A28" s="9" t="n"/>
      <c r="B28" s="10" t="n"/>
      <c r="C28" s="10" t="n"/>
      <c r="D28" s="10" t="n"/>
      <c r="E28" s="10" t="n"/>
      <c r="F28" s="9" t="n"/>
      <c r="G28" s="10" t="n"/>
      <c r="H28" s="10" t="n"/>
      <c r="I28" s="11" t="n"/>
      <c r="J28" s="11" t="n"/>
      <c r="K28" s="12">
        <f>IF(A28="","",SUMIF(Sales!$C$2:$C$501,A28,Sales!$E$2:$E$501))</f>
        <v/>
      </c>
      <c r="L28" s="12">
        <f>IF(A28="","",H28-K28)</f>
        <v/>
      </c>
      <c r="M28" s="13">
        <f>IF(A28="","",ROUND(L28*I28,2))</f>
        <v/>
      </c>
      <c r="N28" s="13">
        <f>IF(A28="","",ROUND(L28*J28,2))</f>
        <v/>
      </c>
      <c r="O28" s="10" t="n"/>
      <c r="P28" s="12">
        <f>IF(A28="","",IF(COUNTIF($A$2:$A$501,A28)&gt;1,"Duplicate lot ID",IF(OR(B28="",H28="",I28="",J28=""),"Complete required fields",IF(L28&lt;0,"OVER SOLD","OK"))))</f>
        <v/>
      </c>
    </row>
    <row r="29" ht="23" customHeight="1">
      <c r="A29" s="14" t="n"/>
      <c r="B29" s="15" t="n"/>
      <c r="C29" s="15" t="n"/>
      <c r="D29" s="15" t="n"/>
      <c r="E29" s="15" t="n"/>
      <c r="F29" s="14" t="n"/>
      <c r="G29" s="15" t="n"/>
      <c r="H29" s="15" t="n"/>
      <c r="I29" s="16" t="n"/>
      <c r="J29" s="16" t="n"/>
      <c r="K29" s="12">
        <f>IF(A29="","",SUMIF(Sales!$C$2:$C$501,A29,Sales!$E$2:$E$501))</f>
        <v/>
      </c>
      <c r="L29" s="12">
        <f>IF(A29="","",H29-K29)</f>
        <v/>
      </c>
      <c r="M29" s="13">
        <f>IF(A29="","",ROUND(L29*I29,2))</f>
        <v/>
      </c>
      <c r="N29" s="13">
        <f>IF(A29="","",ROUND(L29*J29,2))</f>
        <v/>
      </c>
      <c r="O29" s="15" t="n"/>
      <c r="P29" s="12">
        <f>IF(A29="","",IF(COUNTIF($A$2:$A$501,A29)&gt;1,"Duplicate lot ID",IF(OR(B29="",H29="",I29="",J29=""),"Complete required fields",IF(L29&lt;0,"OVER SOLD","OK"))))</f>
        <v/>
      </c>
    </row>
    <row r="30" ht="23" customHeight="1">
      <c r="A30" s="9" t="n"/>
      <c r="B30" s="10" t="n"/>
      <c r="C30" s="10" t="n"/>
      <c r="D30" s="10" t="n"/>
      <c r="E30" s="10" t="n"/>
      <c r="F30" s="9" t="n"/>
      <c r="G30" s="10" t="n"/>
      <c r="H30" s="10" t="n"/>
      <c r="I30" s="11" t="n"/>
      <c r="J30" s="11" t="n"/>
      <c r="K30" s="12">
        <f>IF(A30="","",SUMIF(Sales!$C$2:$C$501,A30,Sales!$E$2:$E$501))</f>
        <v/>
      </c>
      <c r="L30" s="12">
        <f>IF(A30="","",H30-K30)</f>
        <v/>
      </c>
      <c r="M30" s="13">
        <f>IF(A30="","",ROUND(L30*I30,2))</f>
        <v/>
      </c>
      <c r="N30" s="13">
        <f>IF(A30="","",ROUND(L30*J30,2))</f>
        <v/>
      </c>
      <c r="O30" s="10" t="n"/>
      <c r="P30" s="12">
        <f>IF(A30="","",IF(COUNTIF($A$2:$A$501,A30)&gt;1,"Duplicate lot ID",IF(OR(B30="",H30="",I30="",J30=""),"Complete required fields",IF(L30&lt;0,"OVER SOLD","OK"))))</f>
        <v/>
      </c>
    </row>
    <row r="31" ht="23" customHeight="1">
      <c r="A31" s="14" t="n"/>
      <c r="B31" s="15" t="n"/>
      <c r="C31" s="15" t="n"/>
      <c r="D31" s="15" t="n"/>
      <c r="E31" s="15" t="n"/>
      <c r="F31" s="14" t="n"/>
      <c r="G31" s="15" t="n"/>
      <c r="H31" s="15" t="n"/>
      <c r="I31" s="16" t="n"/>
      <c r="J31" s="16" t="n"/>
      <c r="K31" s="12">
        <f>IF(A31="","",SUMIF(Sales!$C$2:$C$501,A31,Sales!$E$2:$E$501))</f>
        <v/>
      </c>
      <c r="L31" s="12">
        <f>IF(A31="","",H31-K31)</f>
        <v/>
      </c>
      <c r="M31" s="13">
        <f>IF(A31="","",ROUND(L31*I31,2))</f>
        <v/>
      </c>
      <c r="N31" s="13">
        <f>IF(A31="","",ROUND(L31*J31,2))</f>
        <v/>
      </c>
      <c r="O31" s="15" t="n"/>
      <c r="P31" s="12">
        <f>IF(A31="","",IF(COUNTIF($A$2:$A$501,A31)&gt;1,"Duplicate lot ID",IF(OR(B31="",H31="",I31="",J31=""),"Complete required fields",IF(L31&lt;0,"OVER SOLD","OK"))))</f>
        <v/>
      </c>
    </row>
    <row r="32" ht="23" customHeight="1">
      <c r="A32" s="9" t="n"/>
      <c r="B32" s="10" t="n"/>
      <c r="C32" s="10" t="n"/>
      <c r="D32" s="10" t="n"/>
      <c r="E32" s="10" t="n"/>
      <c r="F32" s="9" t="n"/>
      <c r="G32" s="10" t="n"/>
      <c r="H32" s="10" t="n"/>
      <c r="I32" s="11" t="n"/>
      <c r="J32" s="11" t="n"/>
      <c r="K32" s="12">
        <f>IF(A32="","",SUMIF(Sales!$C$2:$C$501,A32,Sales!$E$2:$E$501))</f>
        <v/>
      </c>
      <c r="L32" s="12">
        <f>IF(A32="","",H32-K32)</f>
        <v/>
      </c>
      <c r="M32" s="13">
        <f>IF(A32="","",ROUND(L32*I32,2))</f>
        <v/>
      </c>
      <c r="N32" s="13">
        <f>IF(A32="","",ROUND(L32*J32,2))</f>
        <v/>
      </c>
      <c r="O32" s="10" t="n"/>
      <c r="P32" s="12">
        <f>IF(A32="","",IF(COUNTIF($A$2:$A$501,A32)&gt;1,"Duplicate lot ID",IF(OR(B32="",H32="",I32="",J32=""),"Complete required fields",IF(L32&lt;0,"OVER SOLD","OK"))))</f>
        <v/>
      </c>
    </row>
    <row r="33" ht="23" customHeight="1">
      <c r="A33" s="14" t="n"/>
      <c r="B33" s="15" t="n"/>
      <c r="C33" s="15" t="n"/>
      <c r="D33" s="15" t="n"/>
      <c r="E33" s="15" t="n"/>
      <c r="F33" s="14" t="n"/>
      <c r="G33" s="15" t="n"/>
      <c r="H33" s="15" t="n"/>
      <c r="I33" s="16" t="n"/>
      <c r="J33" s="16" t="n"/>
      <c r="K33" s="12">
        <f>IF(A33="","",SUMIF(Sales!$C$2:$C$501,A33,Sales!$E$2:$E$501))</f>
        <v/>
      </c>
      <c r="L33" s="12">
        <f>IF(A33="","",H33-K33)</f>
        <v/>
      </c>
      <c r="M33" s="13">
        <f>IF(A33="","",ROUND(L33*I33,2))</f>
        <v/>
      </c>
      <c r="N33" s="13">
        <f>IF(A33="","",ROUND(L33*J33,2))</f>
        <v/>
      </c>
      <c r="O33" s="15" t="n"/>
      <c r="P33" s="12">
        <f>IF(A33="","",IF(COUNTIF($A$2:$A$501,A33)&gt;1,"Duplicate lot ID",IF(OR(B33="",H33="",I33="",J33=""),"Complete required fields",IF(L33&lt;0,"OVER SOLD","OK"))))</f>
        <v/>
      </c>
    </row>
    <row r="34" ht="23" customHeight="1">
      <c r="A34" s="9" t="n"/>
      <c r="B34" s="10" t="n"/>
      <c r="C34" s="10" t="n"/>
      <c r="D34" s="10" t="n"/>
      <c r="E34" s="10" t="n"/>
      <c r="F34" s="9" t="n"/>
      <c r="G34" s="10" t="n"/>
      <c r="H34" s="10" t="n"/>
      <c r="I34" s="11" t="n"/>
      <c r="J34" s="11" t="n"/>
      <c r="K34" s="12">
        <f>IF(A34="","",SUMIF(Sales!$C$2:$C$501,A34,Sales!$E$2:$E$501))</f>
        <v/>
      </c>
      <c r="L34" s="12">
        <f>IF(A34="","",H34-K34)</f>
        <v/>
      </c>
      <c r="M34" s="13">
        <f>IF(A34="","",ROUND(L34*I34,2))</f>
        <v/>
      </c>
      <c r="N34" s="13">
        <f>IF(A34="","",ROUND(L34*J34,2))</f>
        <v/>
      </c>
      <c r="O34" s="10" t="n"/>
      <c r="P34" s="12">
        <f>IF(A34="","",IF(COUNTIF($A$2:$A$501,A34)&gt;1,"Duplicate lot ID",IF(OR(B34="",H34="",I34="",J34=""),"Complete required fields",IF(L34&lt;0,"OVER SOLD","OK"))))</f>
        <v/>
      </c>
    </row>
    <row r="35" ht="23" customHeight="1">
      <c r="A35" s="14" t="n"/>
      <c r="B35" s="15" t="n"/>
      <c r="C35" s="15" t="n"/>
      <c r="D35" s="15" t="n"/>
      <c r="E35" s="15" t="n"/>
      <c r="F35" s="14" t="n"/>
      <c r="G35" s="15" t="n"/>
      <c r="H35" s="15" t="n"/>
      <c r="I35" s="16" t="n"/>
      <c r="J35" s="16" t="n"/>
      <c r="K35" s="12">
        <f>IF(A35="","",SUMIF(Sales!$C$2:$C$501,A35,Sales!$E$2:$E$501))</f>
        <v/>
      </c>
      <c r="L35" s="12">
        <f>IF(A35="","",H35-K35)</f>
        <v/>
      </c>
      <c r="M35" s="13">
        <f>IF(A35="","",ROUND(L35*I35,2))</f>
        <v/>
      </c>
      <c r="N35" s="13">
        <f>IF(A35="","",ROUND(L35*J35,2))</f>
        <v/>
      </c>
      <c r="O35" s="15" t="n"/>
      <c r="P35" s="12">
        <f>IF(A35="","",IF(COUNTIF($A$2:$A$501,A35)&gt;1,"Duplicate lot ID",IF(OR(B35="",H35="",I35="",J35=""),"Complete required fields",IF(L35&lt;0,"OVER SOLD","OK"))))</f>
        <v/>
      </c>
    </row>
    <row r="36" ht="23" customHeight="1">
      <c r="A36" s="9" t="n"/>
      <c r="B36" s="10" t="n"/>
      <c r="C36" s="10" t="n"/>
      <c r="D36" s="10" t="n"/>
      <c r="E36" s="10" t="n"/>
      <c r="F36" s="9" t="n"/>
      <c r="G36" s="10" t="n"/>
      <c r="H36" s="10" t="n"/>
      <c r="I36" s="11" t="n"/>
      <c r="J36" s="11" t="n"/>
      <c r="K36" s="12">
        <f>IF(A36="","",SUMIF(Sales!$C$2:$C$501,A36,Sales!$E$2:$E$501))</f>
        <v/>
      </c>
      <c r="L36" s="12">
        <f>IF(A36="","",H36-K36)</f>
        <v/>
      </c>
      <c r="M36" s="13">
        <f>IF(A36="","",ROUND(L36*I36,2))</f>
        <v/>
      </c>
      <c r="N36" s="13">
        <f>IF(A36="","",ROUND(L36*J36,2))</f>
        <v/>
      </c>
      <c r="O36" s="10" t="n"/>
      <c r="P36" s="12">
        <f>IF(A36="","",IF(COUNTIF($A$2:$A$501,A36)&gt;1,"Duplicate lot ID",IF(OR(B36="",H36="",I36="",J36=""),"Complete required fields",IF(L36&lt;0,"OVER SOLD","OK"))))</f>
        <v/>
      </c>
    </row>
    <row r="37" ht="23" customHeight="1">
      <c r="A37" s="14" t="n"/>
      <c r="B37" s="15" t="n"/>
      <c r="C37" s="15" t="n"/>
      <c r="D37" s="15" t="n"/>
      <c r="E37" s="15" t="n"/>
      <c r="F37" s="14" t="n"/>
      <c r="G37" s="15" t="n"/>
      <c r="H37" s="15" t="n"/>
      <c r="I37" s="16" t="n"/>
      <c r="J37" s="16" t="n"/>
      <c r="K37" s="12">
        <f>IF(A37="","",SUMIF(Sales!$C$2:$C$501,A37,Sales!$E$2:$E$501))</f>
        <v/>
      </c>
      <c r="L37" s="12">
        <f>IF(A37="","",H37-K37)</f>
        <v/>
      </c>
      <c r="M37" s="13">
        <f>IF(A37="","",ROUND(L37*I37,2))</f>
        <v/>
      </c>
      <c r="N37" s="13">
        <f>IF(A37="","",ROUND(L37*J37,2))</f>
        <v/>
      </c>
      <c r="O37" s="15" t="n"/>
      <c r="P37" s="12">
        <f>IF(A37="","",IF(COUNTIF($A$2:$A$501,A37)&gt;1,"Duplicate lot ID",IF(OR(B37="",H37="",I37="",J37=""),"Complete required fields",IF(L37&lt;0,"OVER SOLD","OK"))))</f>
        <v/>
      </c>
    </row>
    <row r="38" ht="23" customHeight="1">
      <c r="A38" s="9" t="n"/>
      <c r="B38" s="10" t="n"/>
      <c r="C38" s="10" t="n"/>
      <c r="D38" s="10" t="n"/>
      <c r="E38" s="10" t="n"/>
      <c r="F38" s="9" t="n"/>
      <c r="G38" s="10" t="n"/>
      <c r="H38" s="10" t="n"/>
      <c r="I38" s="11" t="n"/>
      <c r="J38" s="11" t="n"/>
      <c r="K38" s="12">
        <f>IF(A38="","",SUMIF(Sales!$C$2:$C$501,A38,Sales!$E$2:$E$501))</f>
        <v/>
      </c>
      <c r="L38" s="12">
        <f>IF(A38="","",H38-K38)</f>
        <v/>
      </c>
      <c r="M38" s="13">
        <f>IF(A38="","",ROUND(L38*I38,2))</f>
        <v/>
      </c>
      <c r="N38" s="13">
        <f>IF(A38="","",ROUND(L38*J38,2))</f>
        <v/>
      </c>
      <c r="O38" s="10" t="n"/>
      <c r="P38" s="12">
        <f>IF(A38="","",IF(COUNTIF($A$2:$A$501,A38)&gt;1,"Duplicate lot ID",IF(OR(B38="",H38="",I38="",J38=""),"Complete required fields",IF(L38&lt;0,"OVER SOLD","OK"))))</f>
        <v/>
      </c>
    </row>
    <row r="39" ht="23" customHeight="1">
      <c r="A39" s="14" t="n"/>
      <c r="B39" s="15" t="n"/>
      <c r="C39" s="15" t="n"/>
      <c r="D39" s="15" t="n"/>
      <c r="E39" s="15" t="n"/>
      <c r="F39" s="14" t="n"/>
      <c r="G39" s="15" t="n"/>
      <c r="H39" s="15" t="n"/>
      <c r="I39" s="16" t="n"/>
      <c r="J39" s="16" t="n"/>
      <c r="K39" s="12">
        <f>IF(A39="","",SUMIF(Sales!$C$2:$C$501,A39,Sales!$E$2:$E$501))</f>
        <v/>
      </c>
      <c r="L39" s="12">
        <f>IF(A39="","",H39-K39)</f>
        <v/>
      </c>
      <c r="M39" s="13">
        <f>IF(A39="","",ROUND(L39*I39,2))</f>
        <v/>
      </c>
      <c r="N39" s="13">
        <f>IF(A39="","",ROUND(L39*J39,2))</f>
        <v/>
      </c>
      <c r="O39" s="15" t="n"/>
      <c r="P39" s="12">
        <f>IF(A39="","",IF(COUNTIF($A$2:$A$501,A39)&gt;1,"Duplicate lot ID",IF(OR(B39="",H39="",I39="",J39=""),"Complete required fields",IF(L39&lt;0,"OVER SOLD","OK"))))</f>
        <v/>
      </c>
    </row>
    <row r="40" ht="23" customHeight="1">
      <c r="A40" s="9" t="n"/>
      <c r="B40" s="10" t="n"/>
      <c r="C40" s="10" t="n"/>
      <c r="D40" s="10" t="n"/>
      <c r="E40" s="10" t="n"/>
      <c r="F40" s="9" t="n"/>
      <c r="G40" s="10" t="n"/>
      <c r="H40" s="10" t="n"/>
      <c r="I40" s="11" t="n"/>
      <c r="J40" s="11" t="n"/>
      <c r="K40" s="12">
        <f>IF(A40="","",SUMIF(Sales!$C$2:$C$501,A40,Sales!$E$2:$E$501))</f>
        <v/>
      </c>
      <c r="L40" s="12">
        <f>IF(A40="","",H40-K40)</f>
        <v/>
      </c>
      <c r="M40" s="13">
        <f>IF(A40="","",ROUND(L40*I40,2))</f>
        <v/>
      </c>
      <c r="N40" s="13">
        <f>IF(A40="","",ROUND(L40*J40,2))</f>
        <v/>
      </c>
      <c r="O40" s="10" t="n"/>
      <c r="P40" s="12">
        <f>IF(A40="","",IF(COUNTIF($A$2:$A$501,A40)&gt;1,"Duplicate lot ID",IF(OR(B40="",H40="",I40="",J40=""),"Complete required fields",IF(L40&lt;0,"OVER SOLD","OK"))))</f>
        <v/>
      </c>
    </row>
    <row r="41" ht="23" customHeight="1">
      <c r="A41" s="14" t="n"/>
      <c r="B41" s="15" t="n"/>
      <c r="C41" s="15" t="n"/>
      <c r="D41" s="15" t="n"/>
      <c r="E41" s="15" t="n"/>
      <c r="F41" s="14" t="n"/>
      <c r="G41" s="15" t="n"/>
      <c r="H41" s="15" t="n"/>
      <c r="I41" s="16" t="n"/>
      <c r="J41" s="16" t="n"/>
      <c r="K41" s="12">
        <f>IF(A41="","",SUMIF(Sales!$C$2:$C$501,A41,Sales!$E$2:$E$501))</f>
        <v/>
      </c>
      <c r="L41" s="12">
        <f>IF(A41="","",H41-K41)</f>
        <v/>
      </c>
      <c r="M41" s="13">
        <f>IF(A41="","",ROUND(L41*I41,2))</f>
        <v/>
      </c>
      <c r="N41" s="13">
        <f>IF(A41="","",ROUND(L41*J41,2))</f>
        <v/>
      </c>
      <c r="O41" s="15" t="n"/>
      <c r="P41" s="12">
        <f>IF(A41="","",IF(COUNTIF($A$2:$A$501,A41)&gt;1,"Duplicate lot ID",IF(OR(B41="",H41="",I41="",J41=""),"Complete required fields",IF(L41&lt;0,"OVER SOLD","OK"))))</f>
        <v/>
      </c>
    </row>
    <row r="42" ht="23" customHeight="1">
      <c r="A42" s="9" t="n"/>
      <c r="B42" s="10" t="n"/>
      <c r="C42" s="10" t="n"/>
      <c r="D42" s="10" t="n"/>
      <c r="E42" s="10" t="n"/>
      <c r="F42" s="9" t="n"/>
      <c r="G42" s="10" t="n"/>
      <c r="H42" s="10" t="n"/>
      <c r="I42" s="11" t="n"/>
      <c r="J42" s="11" t="n"/>
      <c r="K42" s="12">
        <f>IF(A42="","",SUMIF(Sales!$C$2:$C$501,A42,Sales!$E$2:$E$501))</f>
        <v/>
      </c>
      <c r="L42" s="12">
        <f>IF(A42="","",H42-K42)</f>
        <v/>
      </c>
      <c r="M42" s="13">
        <f>IF(A42="","",ROUND(L42*I42,2))</f>
        <v/>
      </c>
      <c r="N42" s="13">
        <f>IF(A42="","",ROUND(L42*J42,2))</f>
        <v/>
      </c>
      <c r="O42" s="10" t="n"/>
      <c r="P42" s="12">
        <f>IF(A42="","",IF(COUNTIF($A$2:$A$501,A42)&gt;1,"Duplicate lot ID",IF(OR(B42="",H42="",I42="",J42=""),"Complete required fields",IF(L42&lt;0,"OVER SOLD","OK"))))</f>
        <v/>
      </c>
    </row>
    <row r="43" ht="23" customHeight="1">
      <c r="A43" s="14" t="n"/>
      <c r="B43" s="15" t="n"/>
      <c r="C43" s="15" t="n"/>
      <c r="D43" s="15" t="n"/>
      <c r="E43" s="15" t="n"/>
      <c r="F43" s="14" t="n"/>
      <c r="G43" s="15" t="n"/>
      <c r="H43" s="15" t="n"/>
      <c r="I43" s="16" t="n"/>
      <c r="J43" s="16" t="n"/>
      <c r="K43" s="12">
        <f>IF(A43="","",SUMIF(Sales!$C$2:$C$501,A43,Sales!$E$2:$E$501))</f>
        <v/>
      </c>
      <c r="L43" s="12">
        <f>IF(A43="","",H43-K43)</f>
        <v/>
      </c>
      <c r="M43" s="13">
        <f>IF(A43="","",ROUND(L43*I43,2))</f>
        <v/>
      </c>
      <c r="N43" s="13">
        <f>IF(A43="","",ROUND(L43*J43,2))</f>
        <v/>
      </c>
      <c r="O43" s="15" t="n"/>
      <c r="P43" s="12">
        <f>IF(A43="","",IF(COUNTIF($A$2:$A$501,A43)&gt;1,"Duplicate lot ID",IF(OR(B43="",H43="",I43="",J43=""),"Complete required fields",IF(L43&lt;0,"OVER SOLD","OK"))))</f>
        <v/>
      </c>
    </row>
    <row r="44" ht="23" customHeight="1">
      <c r="A44" s="9" t="n"/>
      <c r="B44" s="10" t="n"/>
      <c r="C44" s="10" t="n"/>
      <c r="D44" s="10" t="n"/>
      <c r="E44" s="10" t="n"/>
      <c r="F44" s="9" t="n"/>
      <c r="G44" s="10" t="n"/>
      <c r="H44" s="10" t="n"/>
      <c r="I44" s="11" t="n"/>
      <c r="J44" s="11" t="n"/>
      <c r="K44" s="12">
        <f>IF(A44="","",SUMIF(Sales!$C$2:$C$501,A44,Sales!$E$2:$E$501))</f>
        <v/>
      </c>
      <c r="L44" s="12">
        <f>IF(A44="","",H44-K44)</f>
        <v/>
      </c>
      <c r="M44" s="13">
        <f>IF(A44="","",ROUND(L44*I44,2))</f>
        <v/>
      </c>
      <c r="N44" s="13">
        <f>IF(A44="","",ROUND(L44*J44,2))</f>
        <v/>
      </c>
      <c r="O44" s="10" t="n"/>
      <c r="P44" s="12">
        <f>IF(A44="","",IF(COUNTIF($A$2:$A$501,A44)&gt;1,"Duplicate lot ID",IF(OR(B44="",H44="",I44="",J44=""),"Complete required fields",IF(L44&lt;0,"OVER SOLD","OK"))))</f>
        <v/>
      </c>
    </row>
    <row r="45" ht="23" customHeight="1">
      <c r="A45" s="14" t="n"/>
      <c r="B45" s="15" t="n"/>
      <c r="C45" s="15" t="n"/>
      <c r="D45" s="15" t="n"/>
      <c r="E45" s="15" t="n"/>
      <c r="F45" s="14" t="n"/>
      <c r="G45" s="15" t="n"/>
      <c r="H45" s="15" t="n"/>
      <c r="I45" s="16" t="n"/>
      <c r="J45" s="16" t="n"/>
      <c r="K45" s="12">
        <f>IF(A45="","",SUMIF(Sales!$C$2:$C$501,A45,Sales!$E$2:$E$501))</f>
        <v/>
      </c>
      <c r="L45" s="12">
        <f>IF(A45="","",H45-K45)</f>
        <v/>
      </c>
      <c r="M45" s="13">
        <f>IF(A45="","",ROUND(L45*I45,2))</f>
        <v/>
      </c>
      <c r="N45" s="13">
        <f>IF(A45="","",ROUND(L45*J45,2))</f>
        <v/>
      </c>
      <c r="O45" s="15" t="n"/>
      <c r="P45" s="12">
        <f>IF(A45="","",IF(COUNTIF($A$2:$A$501,A45)&gt;1,"Duplicate lot ID",IF(OR(B45="",H45="",I45="",J45=""),"Complete required fields",IF(L45&lt;0,"OVER SOLD","OK"))))</f>
        <v/>
      </c>
    </row>
    <row r="46" ht="23" customHeight="1">
      <c r="A46" s="9" t="n"/>
      <c r="B46" s="10" t="n"/>
      <c r="C46" s="10" t="n"/>
      <c r="D46" s="10" t="n"/>
      <c r="E46" s="10" t="n"/>
      <c r="F46" s="9" t="n"/>
      <c r="G46" s="10" t="n"/>
      <c r="H46" s="10" t="n"/>
      <c r="I46" s="11" t="n"/>
      <c r="J46" s="11" t="n"/>
      <c r="K46" s="12">
        <f>IF(A46="","",SUMIF(Sales!$C$2:$C$501,A46,Sales!$E$2:$E$501))</f>
        <v/>
      </c>
      <c r="L46" s="12">
        <f>IF(A46="","",H46-K46)</f>
        <v/>
      </c>
      <c r="M46" s="13">
        <f>IF(A46="","",ROUND(L46*I46,2))</f>
        <v/>
      </c>
      <c r="N46" s="13">
        <f>IF(A46="","",ROUND(L46*J46,2))</f>
        <v/>
      </c>
      <c r="O46" s="10" t="n"/>
      <c r="P46" s="12">
        <f>IF(A46="","",IF(COUNTIF($A$2:$A$501,A46)&gt;1,"Duplicate lot ID",IF(OR(B46="",H46="",I46="",J46=""),"Complete required fields",IF(L46&lt;0,"OVER SOLD","OK"))))</f>
        <v/>
      </c>
    </row>
    <row r="47" ht="23" customHeight="1">
      <c r="A47" s="14" t="n"/>
      <c r="B47" s="15" t="n"/>
      <c r="C47" s="15" t="n"/>
      <c r="D47" s="15" t="n"/>
      <c r="E47" s="15" t="n"/>
      <c r="F47" s="14" t="n"/>
      <c r="G47" s="15" t="n"/>
      <c r="H47" s="15" t="n"/>
      <c r="I47" s="16" t="n"/>
      <c r="J47" s="16" t="n"/>
      <c r="K47" s="12">
        <f>IF(A47="","",SUMIF(Sales!$C$2:$C$501,A47,Sales!$E$2:$E$501))</f>
        <v/>
      </c>
      <c r="L47" s="12">
        <f>IF(A47="","",H47-K47)</f>
        <v/>
      </c>
      <c r="M47" s="13">
        <f>IF(A47="","",ROUND(L47*I47,2))</f>
        <v/>
      </c>
      <c r="N47" s="13">
        <f>IF(A47="","",ROUND(L47*J47,2))</f>
        <v/>
      </c>
      <c r="O47" s="15" t="n"/>
      <c r="P47" s="12">
        <f>IF(A47="","",IF(COUNTIF($A$2:$A$501,A47)&gt;1,"Duplicate lot ID",IF(OR(B47="",H47="",I47="",J47=""),"Complete required fields",IF(L47&lt;0,"OVER SOLD","OK"))))</f>
        <v/>
      </c>
    </row>
    <row r="48" ht="23" customHeight="1">
      <c r="A48" s="9" t="n"/>
      <c r="B48" s="10" t="n"/>
      <c r="C48" s="10" t="n"/>
      <c r="D48" s="10" t="n"/>
      <c r="E48" s="10" t="n"/>
      <c r="F48" s="9" t="n"/>
      <c r="G48" s="10" t="n"/>
      <c r="H48" s="10" t="n"/>
      <c r="I48" s="11" t="n"/>
      <c r="J48" s="11" t="n"/>
      <c r="K48" s="12">
        <f>IF(A48="","",SUMIF(Sales!$C$2:$C$501,A48,Sales!$E$2:$E$501))</f>
        <v/>
      </c>
      <c r="L48" s="12">
        <f>IF(A48="","",H48-K48)</f>
        <v/>
      </c>
      <c r="M48" s="13">
        <f>IF(A48="","",ROUND(L48*I48,2))</f>
        <v/>
      </c>
      <c r="N48" s="13">
        <f>IF(A48="","",ROUND(L48*J48,2))</f>
        <v/>
      </c>
      <c r="O48" s="10" t="n"/>
      <c r="P48" s="12">
        <f>IF(A48="","",IF(COUNTIF($A$2:$A$501,A48)&gt;1,"Duplicate lot ID",IF(OR(B48="",H48="",I48="",J48=""),"Complete required fields",IF(L48&lt;0,"OVER SOLD","OK"))))</f>
        <v/>
      </c>
    </row>
    <row r="49" ht="23" customHeight="1">
      <c r="A49" s="14" t="n"/>
      <c r="B49" s="15" t="n"/>
      <c r="C49" s="15" t="n"/>
      <c r="D49" s="15" t="n"/>
      <c r="E49" s="15" t="n"/>
      <c r="F49" s="14" t="n"/>
      <c r="G49" s="15" t="n"/>
      <c r="H49" s="15" t="n"/>
      <c r="I49" s="16" t="n"/>
      <c r="J49" s="16" t="n"/>
      <c r="K49" s="12">
        <f>IF(A49="","",SUMIF(Sales!$C$2:$C$501,A49,Sales!$E$2:$E$501))</f>
        <v/>
      </c>
      <c r="L49" s="12">
        <f>IF(A49="","",H49-K49)</f>
        <v/>
      </c>
      <c r="M49" s="13">
        <f>IF(A49="","",ROUND(L49*I49,2))</f>
        <v/>
      </c>
      <c r="N49" s="13">
        <f>IF(A49="","",ROUND(L49*J49,2))</f>
        <v/>
      </c>
      <c r="O49" s="15" t="n"/>
      <c r="P49" s="12">
        <f>IF(A49="","",IF(COUNTIF($A$2:$A$501,A49)&gt;1,"Duplicate lot ID",IF(OR(B49="",H49="",I49="",J49=""),"Complete required fields",IF(L49&lt;0,"OVER SOLD","OK"))))</f>
        <v/>
      </c>
    </row>
    <row r="50" ht="23" customHeight="1">
      <c r="A50" s="9" t="n"/>
      <c r="B50" s="10" t="n"/>
      <c r="C50" s="10" t="n"/>
      <c r="D50" s="10" t="n"/>
      <c r="E50" s="10" t="n"/>
      <c r="F50" s="9" t="n"/>
      <c r="G50" s="10" t="n"/>
      <c r="H50" s="10" t="n"/>
      <c r="I50" s="11" t="n"/>
      <c r="J50" s="11" t="n"/>
      <c r="K50" s="12">
        <f>IF(A50="","",SUMIF(Sales!$C$2:$C$501,A50,Sales!$E$2:$E$501))</f>
        <v/>
      </c>
      <c r="L50" s="12">
        <f>IF(A50="","",H50-K50)</f>
        <v/>
      </c>
      <c r="M50" s="13">
        <f>IF(A50="","",ROUND(L50*I50,2))</f>
        <v/>
      </c>
      <c r="N50" s="13">
        <f>IF(A50="","",ROUND(L50*J50,2))</f>
        <v/>
      </c>
      <c r="O50" s="10" t="n"/>
      <c r="P50" s="12">
        <f>IF(A50="","",IF(COUNTIF($A$2:$A$501,A50)&gt;1,"Duplicate lot ID",IF(OR(B50="",H50="",I50="",J50=""),"Complete required fields",IF(L50&lt;0,"OVER SOLD","OK"))))</f>
        <v/>
      </c>
    </row>
    <row r="51" ht="23" customHeight="1">
      <c r="A51" s="14" t="n"/>
      <c r="B51" s="15" t="n"/>
      <c r="C51" s="15" t="n"/>
      <c r="D51" s="15" t="n"/>
      <c r="E51" s="15" t="n"/>
      <c r="F51" s="14" t="n"/>
      <c r="G51" s="15" t="n"/>
      <c r="H51" s="15" t="n"/>
      <c r="I51" s="16" t="n"/>
      <c r="J51" s="16" t="n"/>
      <c r="K51" s="12">
        <f>IF(A51="","",SUMIF(Sales!$C$2:$C$501,A51,Sales!$E$2:$E$501))</f>
        <v/>
      </c>
      <c r="L51" s="12">
        <f>IF(A51="","",H51-K51)</f>
        <v/>
      </c>
      <c r="M51" s="13">
        <f>IF(A51="","",ROUND(L51*I51,2))</f>
        <v/>
      </c>
      <c r="N51" s="13">
        <f>IF(A51="","",ROUND(L51*J51,2))</f>
        <v/>
      </c>
      <c r="O51" s="15" t="n"/>
      <c r="P51" s="12">
        <f>IF(A51="","",IF(COUNTIF($A$2:$A$501,A51)&gt;1,"Duplicate lot ID",IF(OR(B51="",H51="",I51="",J51=""),"Complete required fields",IF(L51&lt;0,"OVER SOLD","OK"))))</f>
        <v/>
      </c>
    </row>
    <row r="52" ht="23" customHeight="1">
      <c r="A52" s="9" t="n"/>
      <c r="B52" s="10" t="n"/>
      <c r="C52" s="10" t="n"/>
      <c r="D52" s="10" t="n"/>
      <c r="E52" s="10" t="n"/>
      <c r="F52" s="9" t="n"/>
      <c r="G52" s="10" t="n"/>
      <c r="H52" s="10" t="n"/>
      <c r="I52" s="11" t="n"/>
      <c r="J52" s="11" t="n"/>
      <c r="K52" s="12">
        <f>IF(A52="","",SUMIF(Sales!$C$2:$C$501,A52,Sales!$E$2:$E$501))</f>
        <v/>
      </c>
      <c r="L52" s="12">
        <f>IF(A52="","",H52-K52)</f>
        <v/>
      </c>
      <c r="M52" s="13">
        <f>IF(A52="","",ROUND(L52*I52,2))</f>
        <v/>
      </c>
      <c r="N52" s="13">
        <f>IF(A52="","",ROUND(L52*J52,2))</f>
        <v/>
      </c>
      <c r="O52" s="10" t="n"/>
      <c r="P52" s="12">
        <f>IF(A52="","",IF(COUNTIF($A$2:$A$501,A52)&gt;1,"Duplicate lot ID",IF(OR(B52="",H52="",I52="",J52=""),"Complete required fields",IF(L52&lt;0,"OVER SOLD","OK"))))</f>
        <v/>
      </c>
    </row>
    <row r="53" ht="23" customHeight="1">
      <c r="A53" s="14" t="n"/>
      <c r="B53" s="15" t="n"/>
      <c r="C53" s="15" t="n"/>
      <c r="D53" s="15" t="n"/>
      <c r="E53" s="15" t="n"/>
      <c r="F53" s="14" t="n"/>
      <c r="G53" s="15" t="n"/>
      <c r="H53" s="15" t="n"/>
      <c r="I53" s="16" t="n"/>
      <c r="J53" s="16" t="n"/>
      <c r="K53" s="12">
        <f>IF(A53="","",SUMIF(Sales!$C$2:$C$501,A53,Sales!$E$2:$E$501))</f>
        <v/>
      </c>
      <c r="L53" s="12">
        <f>IF(A53="","",H53-K53)</f>
        <v/>
      </c>
      <c r="M53" s="13">
        <f>IF(A53="","",ROUND(L53*I53,2))</f>
        <v/>
      </c>
      <c r="N53" s="13">
        <f>IF(A53="","",ROUND(L53*J53,2))</f>
        <v/>
      </c>
      <c r="O53" s="15" t="n"/>
      <c r="P53" s="12">
        <f>IF(A53="","",IF(COUNTIF($A$2:$A$501,A53)&gt;1,"Duplicate lot ID",IF(OR(B53="",H53="",I53="",J53=""),"Complete required fields",IF(L53&lt;0,"OVER SOLD","OK"))))</f>
        <v/>
      </c>
    </row>
    <row r="54" ht="23" customHeight="1">
      <c r="A54" s="9" t="n"/>
      <c r="B54" s="10" t="n"/>
      <c r="C54" s="10" t="n"/>
      <c r="D54" s="10" t="n"/>
      <c r="E54" s="10" t="n"/>
      <c r="F54" s="9" t="n"/>
      <c r="G54" s="10" t="n"/>
      <c r="H54" s="10" t="n"/>
      <c r="I54" s="11" t="n"/>
      <c r="J54" s="11" t="n"/>
      <c r="K54" s="12">
        <f>IF(A54="","",SUMIF(Sales!$C$2:$C$501,A54,Sales!$E$2:$E$501))</f>
        <v/>
      </c>
      <c r="L54" s="12">
        <f>IF(A54="","",H54-K54)</f>
        <v/>
      </c>
      <c r="M54" s="13">
        <f>IF(A54="","",ROUND(L54*I54,2))</f>
        <v/>
      </c>
      <c r="N54" s="13">
        <f>IF(A54="","",ROUND(L54*J54,2))</f>
        <v/>
      </c>
      <c r="O54" s="10" t="n"/>
      <c r="P54" s="12">
        <f>IF(A54="","",IF(COUNTIF($A$2:$A$501,A54)&gt;1,"Duplicate lot ID",IF(OR(B54="",H54="",I54="",J54=""),"Complete required fields",IF(L54&lt;0,"OVER SOLD","OK"))))</f>
        <v/>
      </c>
    </row>
    <row r="55" ht="23" customHeight="1">
      <c r="A55" s="14" t="n"/>
      <c r="B55" s="15" t="n"/>
      <c r="C55" s="15" t="n"/>
      <c r="D55" s="15" t="n"/>
      <c r="E55" s="15" t="n"/>
      <c r="F55" s="14" t="n"/>
      <c r="G55" s="15" t="n"/>
      <c r="H55" s="15" t="n"/>
      <c r="I55" s="16" t="n"/>
      <c r="J55" s="16" t="n"/>
      <c r="K55" s="12">
        <f>IF(A55="","",SUMIF(Sales!$C$2:$C$501,A55,Sales!$E$2:$E$501))</f>
        <v/>
      </c>
      <c r="L55" s="12">
        <f>IF(A55="","",H55-K55)</f>
        <v/>
      </c>
      <c r="M55" s="13">
        <f>IF(A55="","",ROUND(L55*I55,2))</f>
        <v/>
      </c>
      <c r="N55" s="13">
        <f>IF(A55="","",ROUND(L55*J55,2))</f>
        <v/>
      </c>
      <c r="O55" s="15" t="n"/>
      <c r="P55" s="12">
        <f>IF(A55="","",IF(COUNTIF($A$2:$A$501,A55)&gt;1,"Duplicate lot ID",IF(OR(B55="",H55="",I55="",J55=""),"Complete required fields",IF(L55&lt;0,"OVER SOLD","OK"))))</f>
        <v/>
      </c>
    </row>
    <row r="56" ht="23" customHeight="1">
      <c r="A56" s="9" t="n"/>
      <c r="B56" s="10" t="n"/>
      <c r="C56" s="10" t="n"/>
      <c r="D56" s="10" t="n"/>
      <c r="E56" s="10" t="n"/>
      <c r="F56" s="9" t="n"/>
      <c r="G56" s="10" t="n"/>
      <c r="H56" s="10" t="n"/>
      <c r="I56" s="11" t="n"/>
      <c r="J56" s="11" t="n"/>
      <c r="K56" s="12">
        <f>IF(A56="","",SUMIF(Sales!$C$2:$C$501,A56,Sales!$E$2:$E$501))</f>
        <v/>
      </c>
      <c r="L56" s="12">
        <f>IF(A56="","",H56-K56)</f>
        <v/>
      </c>
      <c r="M56" s="13">
        <f>IF(A56="","",ROUND(L56*I56,2))</f>
        <v/>
      </c>
      <c r="N56" s="13">
        <f>IF(A56="","",ROUND(L56*J56,2))</f>
        <v/>
      </c>
      <c r="O56" s="10" t="n"/>
      <c r="P56" s="12">
        <f>IF(A56="","",IF(COUNTIF($A$2:$A$501,A56)&gt;1,"Duplicate lot ID",IF(OR(B56="",H56="",I56="",J56=""),"Complete required fields",IF(L56&lt;0,"OVER SOLD","OK"))))</f>
        <v/>
      </c>
    </row>
    <row r="57" ht="23" customHeight="1">
      <c r="A57" s="14" t="n"/>
      <c r="B57" s="15" t="n"/>
      <c r="C57" s="15" t="n"/>
      <c r="D57" s="15" t="n"/>
      <c r="E57" s="15" t="n"/>
      <c r="F57" s="14" t="n"/>
      <c r="G57" s="15" t="n"/>
      <c r="H57" s="15" t="n"/>
      <c r="I57" s="16" t="n"/>
      <c r="J57" s="16" t="n"/>
      <c r="K57" s="12">
        <f>IF(A57="","",SUMIF(Sales!$C$2:$C$501,A57,Sales!$E$2:$E$501))</f>
        <v/>
      </c>
      <c r="L57" s="12">
        <f>IF(A57="","",H57-K57)</f>
        <v/>
      </c>
      <c r="M57" s="13">
        <f>IF(A57="","",ROUND(L57*I57,2))</f>
        <v/>
      </c>
      <c r="N57" s="13">
        <f>IF(A57="","",ROUND(L57*J57,2))</f>
        <v/>
      </c>
      <c r="O57" s="15" t="n"/>
      <c r="P57" s="12">
        <f>IF(A57="","",IF(COUNTIF($A$2:$A$501,A57)&gt;1,"Duplicate lot ID",IF(OR(B57="",H57="",I57="",J57=""),"Complete required fields",IF(L57&lt;0,"OVER SOLD","OK"))))</f>
        <v/>
      </c>
    </row>
    <row r="58" ht="23" customHeight="1">
      <c r="A58" s="9" t="n"/>
      <c r="B58" s="10" t="n"/>
      <c r="C58" s="10" t="n"/>
      <c r="D58" s="10" t="n"/>
      <c r="E58" s="10" t="n"/>
      <c r="F58" s="9" t="n"/>
      <c r="G58" s="10" t="n"/>
      <c r="H58" s="10" t="n"/>
      <c r="I58" s="11" t="n"/>
      <c r="J58" s="11" t="n"/>
      <c r="K58" s="12">
        <f>IF(A58="","",SUMIF(Sales!$C$2:$C$501,A58,Sales!$E$2:$E$501))</f>
        <v/>
      </c>
      <c r="L58" s="12">
        <f>IF(A58="","",H58-K58)</f>
        <v/>
      </c>
      <c r="M58" s="13">
        <f>IF(A58="","",ROUND(L58*I58,2))</f>
        <v/>
      </c>
      <c r="N58" s="13">
        <f>IF(A58="","",ROUND(L58*J58,2))</f>
        <v/>
      </c>
      <c r="O58" s="10" t="n"/>
      <c r="P58" s="12">
        <f>IF(A58="","",IF(COUNTIF($A$2:$A$501,A58)&gt;1,"Duplicate lot ID",IF(OR(B58="",H58="",I58="",J58=""),"Complete required fields",IF(L58&lt;0,"OVER SOLD","OK"))))</f>
        <v/>
      </c>
    </row>
    <row r="59" ht="23" customHeight="1">
      <c r="A59" s="14" t="n"/>
      <c r="B59" s="15" t="n"/>
      <c r="C59" s="15" t="n"/>
      <c r="D59" s="15" t="n"/>
      <c r="E59" s="15" t="n"/>
      <c r="F59" s="14" t="n"/>
      <c r="G59" s="15" t="n"/>
      <c r="H59" s="15" t="n"/>
      <c r="I59" s="16" t="n"/>
      <c r="J59" s="16" t="n"/>
      <c r="K59" s="12">
        <f>IF(A59="","",SUMIF(Sales!$C$2:$C$501,A59,Sales!$E$2:$E$501))</f>
        <v/>
      </c>
      <c r="L59" s="12">
        <f>IF(A59="","",H59-K59)</f>
        <v/>
      </c>
      <c r="M59" s="13">
        <f>IF(A59="","",ROUND(L59*I59,2))</f>
        <v/>
      </c>
      <c r="N59" s="13">
        <f>IF(A59="","",ROUND(L59*J59,2))</f>
        <v/>
      </c>
      <c r="O59" s="15" t="n"/>
      <c r="P59" s="12">
        <f>IF(A59="","",IF(COUNTIF($A$2:$A$501,A59)&gt;1,"Duplicate lot ID",IF(OR(B59="",H59="",I59="",J59=""),"Complete required fields",IF(L59&lt;0,"OVER SOLD","OK"))))</f>
        <v/>
      </c>
    </row>
    <row r="60" ht="23" customHeight="1">
      <c r="A60" s="9" t="n"/>
      <c r="B60" s="10" t="n"/>
      <c r="C60" s="10" t="n"/>
      <c r="D60" s="10" t="n"/>
      <c r="E60" s="10" t="n"/>
      <c r="F60" s="9" t="n"/>
      <c r="G60" s="10" t="n"/>
      <c r="H60" s="10" t="n"/>
      <c r="I60" s="11" t="n"/>
      <c r="J60" s="11" t="n"/>
      <c r="K60" s="12">
        <f>IF(A60="","",SUMIF(Sales!$C$2:$C$501,A60,Sales!$E$2:$E$501))</f>
        <v/>
      </c>
      <c r="L60" s="12">
        <f>IF(A60="","",H60-K60)</f>
        <v/>
      </c>
      <c r="M60" s="13">
        <f>IF(A60="","",ROUND(L60*I60,2))</f>
        <v/>
      </c>
      <c r="N60" s="13">
        <f>IF(A60="","",ROUND(L60*J60,2))</f>
        <v/>
      </c>
      <c r="O60" s="10" t="n"/>
      <c r="P60" s="12">
        <f>IF(A60="","",IF(COUNTIF($A$2:$A$501,A60)&gt;1,"Duplicate lot ID",IF(OR(B60="",H60="",I60="",J60=""),"Complete required fields",IF(L60&lt;0,"OVER SOLD","OK"))))</f>
        <v/>
      </c>
    </row>
    <row r="61" ht="23" customHeight="1">
      <c r="A61" s="14" t="n"/>
      <c r="B61" s="15" t="n"/>
      <c r="C61" s="15" t="n"/>
      <c r="D61" s="15" t="n"/>
      <c r="E61" s="15" t="n"/>
      <c r="F61" s="14" t="n"/>
      <c r="G61" s="15" t="n"/>
      <c r="H61" s="15" t="n"/>
      <c r="I61" s="16" t="n"/>
      <c r="J61" s="16" t="n"/>
      <c r="K61" s="12">
        <f>IF(A61="","",SUMIF(Sales!$C$2:$C$501,A61,Sales!$E$2:$E$501))</f>
        <v/>
      </c>
      <c r="L61" s="12">
        <f>IF(A61="","",H61-K61)</f>
        <v/>
      </c>
      <c r="M61" s="13">
        <f>IF(A61="","",ROUND(L61*I61,2))</f>
        <v/>
      </c>
      <c r="N61" s="13">
        <f>IF(A61="","",ROUND(L61*J61,2))</f>
        <v/>
      </c>
      <c r="O61" s="15" t="n"/>
      <c r="P61" s="12">
        <f>IF(A61="","",IF(COUNTIF($A$2:$A$501,A61)&gt;1,"Duplicate lot ID",IF(OR(B61="",H61="",I61="",J61=""),"Complete required fields",IF(L61&lt;0,"OVER SOLD","OK"))))</f>
        <v/>
      </c>
    </row>
    <row r="62" ht="23" customHeight="1">
      <c r="A62" s="9" t="n"/>
      <c r="B62" s="10" t="n"/>
      <c r="C62" s="10" t="n"/>
      <c r="D62" s="10" t="n"/>
      <c r="E62" s="10" t="n"/>
      <c r="F62" s="9" t="n"/>
      <c r="G62" s="10" t="n"/>
      <c r="H62" s="10" t="n"/>
      <c r="I62" s="11" t="n"/>
      <c r="J62" s="11" t="n"/>
      <c r="K62" s="12">
        <f>IF(A62="","",SUMIF(Sales!$C$2:$C$501,A62,Sales!$E$2:$E$501))</f>
        <v/>
      </c>
      <c r="L62" s="12">
        <f>IF(A62="","",H62-K62)</f>
        <v/>
      </c>
      <c r="M62" s="13">
        <f>IF(A62="","",ROUND(L62*I62,2))</f>
        <v/>
      </c>
      <c r="N62" s="13">
        <f>IF(A62="","",ROUND(L62*J62,2))</f>
        <v/>
      </c>
      <c r="O62" s="10" t="n"/>
      <c r="P62" s="12">
        <f>IF(A62="","",IF(COUNTIF($A$2:$A$501,A62)&gt;1,"Duplicate lot ID",IF(OR(B62="",H62="",I62="",J62=""),"Complete required fields",IF(L62&lt;0,"OVER SOLD","OK"))))</f>
        <v/>
      </c>
    </row>
    <row r="63" ht="23" customHeight="1">
      <c r="A63" s="14" t="n"/>
      <c r="B63" s="15" t="n"/>
      <c r="C63" s="15" t="n"/>
      <c r="D63" s="15" t="n"/>
      <c r="E63" s="15" t="n"/>
      <c r="F63" s="14" t="n"/>
      <c r="G63" s="15" t="n"/>
      <c r="H63" s="15" t="n"/>
      <c r="I63" s="16" t="n"/>
      <c r="J63" s="16" t="n"/>
      <c r="K63" s="12">
        <f>IF(A63="","",SUMIF(Sales!$C$2:$C$501,A63,Sales!$E$2:$E$501))</f>
        <v/>
      </c>
      <c r="L63" s="12">
        <f>IF(A63="","",H63-K63)</f>
        <v/>
      </c>
      <c r="M63" s="13">
        <f>IF(A63="","",ROUND(L63*I63,2))</f>
        <v/>
      </c>
      <c r="N63" s="13">
        <f>IF(A63="","",ROUND(L63*J63,2))</f>
        <v/>
      </c>
      <c r="O63" s="15" t="n"/>
      <c r="P63" s="12">
        <f>IF(A63="","",IF(COUNTIF($A$2:$A$501,A63)&gt;1,"Duplicate lot ID",IF(OR(B63="",H63="",I63="",J63=""),"Complete required fields",IF(L63&lt;0,"OVER SOLD","OK"))))</f>
        <v/>
      </c>
    </row>
    <row r="64" ht="23" customHeight="1">
      <c r="A64" s="9" t="n"/>
      <c r="B64" s="10" t="n"/>
      <c r="C64" s="10" t="n"/>
      <c r="D64" s="10" t="n"/>
      <c r="E64" s="10" t="n"/>
      <c r="F64" s="9" t="n"/>
      <c r="G64" s="10" t="n"/>
      <c r="H64" s="10" t="n"/>
      <c r="I64" s="11" t="n"/>
      <c r="J64" s="11" t="n"/>
      <c r="K64" s="12">
        <f>IF(A64="","",SUMIF(Sales!$C$2:$C$501,A64,Sales!$E$2:$E$501))</f>
        <v/>
      </c>
      <c r="L64" s="12">
        <f>IF(A64="","",H64-K64)</f>
        <v/>
      </c>
      <c r="M64" s="13">
        <f>IF(A64="","",ROUND(L64*I64,2))</f>
        <v/>
      </c>
      <c r="N64" s="13">
        <f>IF(A64="","",ROUND(L64*J64,2))</f>
        <v/>
      </c>
      <c r="O64" s="10" t="n"/>
      <c r="P64" s="12">
        <f>IF(A64="","",IF(COUNTIF($A$2:$A$501,A64)&gt;1,"Duplicate lot ID",IF(OR(B64="",H64="",I64="",J64=""),"Complete required fields",IF(L64&lt;0,"OVER SOLD","OK"))))</f>
        <v/>
      </c>
    </row>
    <row r="65" ht="23" customHeight="1">
      <c r="A65" s="14" t="n"/>
      <c r="B65" s="15" t="n"/>
      <c r="C65" s="15" t="n"/>
      <c r="D65" s="15" t="n"/>
      <c r="E65" s="15" t="n"/>
      <c r="F65" s="14" t="n"/>
      <c r="G65" s="15" t="n"/>
      <c r="H65" s="15" t="n"/>
      <c r="I65" s="16" t="n"/>
      <c r="J65" s="16" t="n"/>
      <c r="K65" s="12">
        <f>IF(A65="","",SUMIF(Sales!$C$2:$C$501,A65,Sales!$E$2:$E$501))</f>
        <v/>
      </c>
      <c r="L65" s="12">
        <f>IF(A65="","",H65-K65)</f>
        <v/>
      </c>
      <c r="M65" s="13">
        <f>IF(A65="","",ROUND(L65*I65,2))</f>
        <v/>
      </c>
      <c r="N65" s="13">
        <f>IF(A65="","",ROUND(L65*J65,2))</f>
        <v/>
      </c>
      <c r="O65" s="15" t="n"/>
      <c r="P65" s="12">
        <f>IF(A65="","",IF(COUNTIF($A$2:$A$501,A65)&gt;1,"Duplicate lot ID",IF(OR(B65="",H65="",I65="",J65=""),"Complete required fields",IF(L65&lt;0,"OVER SOLD","OK"))))</f>
        <v/>
      </c>
    </row>
    <row r="66" ht="23" customHeight="1">
      <c r="A66" s="9" t="n"/>
      <c r="B66" s="10" t="n"/>
      <c r="C66" s="10" t="n"/>
      <c r="D66" s="10" t="n"/>
      <c r="E66" s="10" t="n"/>
      <c r="F66" s="9" t="n"/>
      <c r="G66" s="10" t="n"/>
      <c r="H66" s="10" t="n"/>
      <c r="I66" s="11" t="n"/>
      <c r="J66" s="11" t="n"/>
      <c r="K66" s="12">
        <f>IF(A66="","",SUMIF(Sales!$C$2:$C$501,A66,Sales!$E$2:$E$501))</f>
        <v/>
      </c>
      <c r="L66" s="12">
        <f>IF(A66="","",H66-K66)</f>
        <v/>
      </c>
      <c r="M66" s="13">
        <f>IF(A66="","",ROUND(L66*I66,2))</f>
        <v/>
      </c>
      <c r="N66" s="13">
        <f>IF(A66="","",ROUND(L66*J66,2))</f>
        <v/>
      </c>
      <c r="O66" s="10" t="n"/>
      <c r="P66" s="12">
        <f>IF(A66="","",IF(COUNTIF($A$2:$A$501,A66)&gt;1,"Duplicate lot ID",IF(OR(B66="",H66="",I66="",J66=""),"Complete required fields",IF(L66&lt;0,"OVER SOLD","OK"))))</f>
        <v/>
      </c>
    </row>
    <row r="67" ht="23" customHeight="1">
      <c r="A67" s="14" t="n"/>
      <c r="B67" s="15" t="n"/>
      <c r="C67" s="15" t="n"/>
      <c r="D67" s="15" t="n"/>
      <c r="E67" s="15" t="n"/>
      <c r="F67" s="14" t="n"/>
      <c r="G67" s="15" t="n"/>
      <c r="H67" s="15" t="n"/>
      <c r="I67" s="16" t="n"/>
      <c r="J67" s="16" t="n"/>
      <c r="K67" s="12">
        <f>IF(A67="","",SUMIF(Sales!$C$2:$C$501,A67,Sales!$E$2:$E$501))</f>
        <v/>
      </c>
      <c r="L67" s="12">
        <f>IF(A67="","",H67-K67)</f>
        <v/>
      </c>
      <c r="M67" s="13">
        <f>IF(A67="","",ROUND(L67*I67,2))</f>
        <v/>
      </c>
      <c r="N67" s="13">
        <f>IF(A67="","",ROUND(L67*J67,2))</f>
        <v/>
      </c>
      <c r="O67" s="15" t="n"/>
      <c r="P67" s="12">
        <f>IF(A67="","",IF(COUNTIF($A$2:$A$501,A67)&gt;1,"Duplicate lot ID",IF(OR(B67="",H67="",I67="",J67=""),"Complete required fields",IF(L67&lt;0,"OVER SOLD","OK"))))</f>
        <v/>
      </c>
    </row>
    <row r="68" ht="23" customHeight="1">
      <c r="A68" s="9" t="n"/>
      <c r="B68" s="10" t="n"/>
      <c r="C68" s="10" t="n"/>
      <c r="D68" s="10" t="n"/>
      <c r="E68" s="10" t="n"/>
      <c r="F68" s="9" t="n"/>
      <c r="G68" s="10" t="n"/>
      <c r="H68" s="10" t="n"/>
      <c r="I68" s="11" t="n"/>
      <c r="J68" s="11" t="n"/>
      <c r="K68" s="12">
        <f>IF(A68="","",SUMIF(Sales!$C$2:$C$501,A68,Sales!$E$2:$E$501))</f>
        <v/>
      </c>
      <c r="L68" s="12">
        <f>IF(A68="","",H68-K68)</f>
        <v/>
      </c>
      <c r="M68" s="13">
        <f>IF(A68="","",ROUND(L68*I68,2))</f>
        <v/>
      </c>
      <c r="N68" s="13">
        <f>IF(A68="","",ROUND(L68*J68,2))</f>
        <v/>
      </c>
      <c r="O68" s="10" t="n"/>
      <c r="P68" s="12">
        <f>IF(A68="","",IF(COUNTIF($A$2:$A$501,A68)&gt;1,"Duplicate lot ID",IF(OR(B68="",H68="",I68="",J68=""),"Complete required fields",IF(L68&lt;0,"OVER SOLD","OK"))))</f>
        <v/>
      </c>
    </row>
    <row r="69" ht="23" customHeight="1">
      <c r="A69" s="14" t="n"/>
      <c r="B69" s="15" t="n"/>
      <c r="C69" s="15" t="n"/>
      <c r="D69" s="15" t="n"/>
      <c r="E69" s="15" t="n"/>
      <c r="F69" s="14" t="n"/>
      <c r="G69" s="15" t="n"/>
      <c r="H69" s="15" t="n"/>
      <c r="I69" s="16" t="n"/>
      <c r="J69" s="16" t="n"/>
      <c r="K69" s="12">
        <f>IF(A69="","",SUMIF(Sales!$C$2:$C$501,A69,Sales!$E$2:$E$501))</f>
        <v/>
      </c>
      <c r="L69" s="12">
        <f>IF(A69="","",H69-K69)</f>
        <v/>
      </c>
      <c r="M69" s="13">
        <f>IF(A69="","",ROUND(L69*I69,2))</f>
        <v/>
      </c>
      <c r="N69" s="13">
        <f>IF(A69="","",ROUND(L69*J69,2))</f>
        <v/>
      </c>
      <c r="O69" s="15" t="n"/>
      <c r="P69" s="12">
        <f>IF(A69="","",IF(COUNTIF($A$2:$A$501,A69)&gt;1,"Duplicate lot ID",IF(OR(B69="",H69="",I69="",J69=""),"Complete required fields",IF(L69&lt;0,"OVER SOLD","OK"))))</f>
        <v/>
      </c>
    </row>
    <row r="70" ht="23" customHeight="1">
      <c r="A70" s="9" t="n"/>
      <c r="B70" s="10" t="n"/>
      <c r="C70" s="10" t="n"/>
      <c r="D70" s="10" t="n"/>
      <c r="E70" s="10" t="n"/>
      <c r="F70" s="9" t="n"/>
      <c r="G70" s="10" t="n"/>
      <c r="H70" s="10" t="n"/>
      <c r="I70" s="11" t="n"/>
      <c r="J70" s="11" t="n"/>
      <c r="K70" s="12">
        <f>IF(A70="","",SUMIF(Sales!$C$2:$C$501,A70,Sales!$E$2:$E$501))</f>
        <v/>
      </c>
      <c r="L70" s="12">
        <f>IF(A70="","",H70-K70)</f>
        <v/>
      </c>
      <c r="M70" s="13">
        <f>IF(A70="","",ROUND(L70*I70,2))</f>
        <v/>
      </c>
      <c r="N70" s="13">
        <f>IF(A70="","",ROUND(L70*J70,2))</f>
        <v/>
      </c>
      <c r="O70" s="10" t="n"/>
      <c r="P70" s="12">
        <f>IF(A70="","",IF(COUNTIF($A$2:$A$501,A70)&gt;1,"Duplicate lot ID",IF(OR(B70="",H70="",I70="",J70=""),"Complete required fields",IF(L70&lt;0,"OVER SOLD","OK"))))</f>
        <v/>
      </c>
    </row>
    <row r="71" ht="23" customHeight="1">
      <c r="A71" s="14" t="n"/>
      <c r="B71" s="15" t="n"/>
      <c r="C71" s="15" t="n"/>
      <c r="D71" s="15" t="n"/>
      <c r="E71" s="15" t="n"/>
      <c r="F71" s="14" t="n"/>
      <c r="G71" s="15" t="n"/>
      <c r="H71" s="15" t="n"/>
      <c r="I71" s="16" t="n"/>
      <c r="J71" s="16" t="n"/>
      <c r="K71" s="12">
        <f>IF(A71="","",SUMIF(Sales!$C$2:$C$501,A71,Sales!$E$2:$E$501))</f>
        <v/>
      </c>
      <c r="L71" s="12">
        <f>IF(A71="","",H71-K71)</f>
        <v/>
      </c>
      <c r="M71" s="13">
        <f>IF(A71="","",ROUND(L71*I71,2))</f>
        <v/>
      </c>
      <c r="N71" s="13">
        <f>IF(A71="","",ROUND(L71*J71,2))</f>
        <v/>
      </c>
      <c r="O71" s="15" t="n"/>
      <c r="P71" s="12">
        <f>IF(A71="","",IF(COUNTIF($A$2:$A$501,A71)&gt;1,"Duplicate lot ID",IF(OR(B71="",H71="",I71="",J71=""),"Complete required fields",IF(L71&lt;0,"OVER SOLD","OK"))))</f>
        <v/>
      </c>
    </row>
    <row r="72" ht="23" customHeight="1">
      <c r="A72" s="9" t="n"/>
      <c r="B72" s="10" t="n"/>
      <c r="C72" s="10" t="n"/>
      <c r="D72" s="10" t="n"/>
      <c r="E72" s="10" t="n"/>
      <c r="F72" s="9" t="n"/>
      <c r="G72" s="10" t="n"/>
      <c r="H72" s="10" t="n"/>
      <c r="I72" s="11" t="n"/>
      <c r="J72" s="11" t="n"/>
      <c r="K72" s="12">
        <f>IF(A72="","",SUMIF(Sales!$C$2:$C$501,A72,Sales!$E$2:$E$501))</f>
        <v/>
      </c>
      <c r="L72" s="12">
        <f>IF(A72="","",H72-K72)</f>
        <v/>
      </c>
      <c r="M72" s="13">
        <f>IF(A72="","",ROUND(L72*I72,2))</f>
        <v/>
      </c>
      <c r="N72" s="13">
        <f>IF(A72="","",ROUND(L72*J72,2))</f>
        <v/>
      </c>
      <c r="O72" s="10" t="n"/>
      <c r="P72" s="12">
        <f>IF(A72="","",IF(COUNTIF($A$2:$A$501,A72)&gt;1,"Duplicate lot ID",IF(OR(B72="",H72="",I72="",J72=""),"Complete required fields",IF(L72&lt;0,"OVER SOLD","OK"))))</f>
        <v/>
      </c>
    </row>
    <row r="73" ht="23" customHeight="1">
      <c r="A73" s="14" t="n"/>
      <c r="B73" s="15" t="n"/>
      <c r="C73" s="15" t="n"/>
      <c r="D73" s="15" t="n"/>
      <c r="E73" s="15" t="n"/>
      <c r="F73" s="14" t="n"/>
      <c r="G73" s="15" t="n"/>
      <c r="H73" s="15" t="n"/>
      <c r="I73" s="16" t="n"/>
      <c r="J73" s="16" t="n"/>
      <c r="K73" s="12">
        <f>IF(A73="","",SUMIF(Sales!$C$2:$C$501,A73,Sales!$E$2:$E$501))</f>
        <v/>
      </c>
      <c r="L73" s="12">
        <f>IF(A73="","",H73-K73)</f>
        <v/>
      </c>
      <c r="M73" s="13">
        <f>IF(A73="","",ROUND(L73*I73,2))</f>
        <v/>
      </c>
      <c r="N73" s="13">
        <f>IF(A73="","",ROUND(L73*J73,2))</f>
        <v/>
      </c>
      <c r="O73" s="15" t="n"/>
      <c r="P73" s="12">
        <f>IF(A73="","",IF(COUNTIF($A$2:$A$501,A73)&gt;1,"Duplicate lot ID",IF(OR(B73="",H73="",I73="",J73=""),"Complete required fields",IF(L73&lt;0,"OVER SOLD","OK"))))</f>
        <v/>
      </c>
    </row>
    <row r="74" ht="23" customHeight="1">
      <c r="A74" s="9" t="n"/>
      <c r="B74" s="10" t="n"/>
      <c r="C74" s="10" t="n"/>
      <c r="D74" s="10" t="n"/>
      <c r="E74" s="10" t="n"/>
      <c r="F74" s="9" t="n"/>
      <c r="G74" s="10" t="n"/>
      <c r="H74" s="10" t="n"/>
      <c r="I74" s="11" t="n"/>
      <c r="J74" s="11" t="n"/>
      <c r="K74" s="12">
        <f>IF(A74="","",SUMIF(Sales!$C$2:$C$501,A74,Sales!$E$2:$E$501))</f>
        <v/>
      </c>
      <c r="L74" s="12">
        <f>IF(A74="","",H74-K74)</f>
        <v/>
      </c>
      <c r="M74" s="13">
        <f>IF(A74="","",ROUND(L74*I74,2))</f>
        <v/>
      </c>
      <c r="N74" s="13">
        <f>IF(A74="","",ROUND(L74*J74,2))</f>
        <v/>
      </c>
      <c r="O74" s="10" t="n"/>
      <c r="P74" s="12">
        <f>IF(A74="","",IF(COUNTIF($A$2:$A$501,A74)&gt;1,"Duplicate lot ID",IF(OR(B74="",H74="",I74="",J74=""),"Complete required fields",IF(L74&lt;0,"OVER SOLD","OK"))))</f>
        <v/>
      </c>
    </row>
    <row r="75" ht="23" customHeight="1">
      <c r="A75" s="14" t="n"/>
      <c r="B75" s="15" t="n"/>
      <c r="C75" s="15" t="n"/>
      <c r="D75" s="15" t="n"/>
      <c r="E75" s="15" t="n"/>
      <c r="F75" s="14" t="n"/>
      <c r="G75" s="15" t="n"/>
      <c r="H75" s="15" t="n"/>
      <c r="I75" s="16" t="n"/>
      <c r="J75" s="16" t="n"/>
      <c r="K75" s="12">
        <f>IF(A75="","",SUMIF(Sales!$C$2:$C$501,A75,Sales!$E$2:$E$501))</f>
        <v/>
      </c>
      <c r="L75" s="12">
        <f>IF(A75="","",H75-K75)</f>
        <v/>
      </c>
      <c r="M75" s="13">
        <f>IF(A75="","",ROUND(L75*I75,2))</f>
        <v/>
      </c>
      <c r="N75" s="13">
        <f>IF(A75="","",ROUND(L75*J75,2))</f>
        <v/>
      </c>
      <c r="O75" s="15" t="n"/>
      <c r="P75" s="12">
        <f>IF(A75="","",IF(COUNTIF($A$2:$A$501,A75)&gt;1,"Duplicate lot ID",IF(OR(B75="",H75="",I75="",J75=""),"Complete required fields",IF(L75&lt;0,"OVER SOLD","OK"))))</f>
        <v/>
      </c>
    </row>
    <row r="76" ht="23" customHeight="1">
      <c r="A76" s="9" t="n"/>
      <c r="B76" s="10" t="n"/>
      <c r="C76" s="10" t="n"/>
      <c r="D76" s="10" t="n"/>
      <c r="E76" s="10" t="n"/>
      <c r="F76" s="9" t="n"/>
      <c r="G76" s="10" t="n"/>
      <c r="H76" s="10" t="n"/>
      <c r="I76" s="11" t="n"/>
      <c r="J76" s="11" t="n"/>
      <c r="K76" s="12">
        <f>IF(A76="","",SUMIF(Sales!$C$2:$C$501,A76,Sales!$E$2:$E$501))</f>
        <v/>
      </c>
      <c r="L76" s="12">
        <f>IF(A76="","",H76-K76)</f>
        <v/>
      </c>
      <c r="M76" s="13">
        <f>IF(A76="","",ROUND(L76*I76,2))</f>
        <v/>
      </c>
      <c r="N76" s="13">
        <f>IF(A76="","",ROUND(L76*J76,2))</f>
        <v/>
      </c>
      <c r="O76" s="10" t="n"/>
      <c r="P76" s="12">
        <f>IF(A76="","",IF(COUNTIF($A$2:$A$501,A76)&gt;1,"Duplicate lot ID",IF(OR(B76="",H76="",I76="",J76=""),"Complete required fields",IF(L76&lt;0,"OVER SOLD","OK"))))</f>
        <v/>
      </c>
    </row>
    <row r="77" ht="23" customHeight="1">
      <c r="A77" s="14" t="n"/>
      <c r="B77" s="15" t="n"/>
      <c r="C77" s="15" t="n"/>
      <c r="D77" s="15" t="n"/>
      <c r="E77" s="15" t="n"/>
      <c r="F77" s="14" t="n"/>
      <c r="G77" s="15" t="n"/>
      <c r="H77" s="15" t="n"/>
      <c r="I77" s="16" t="n"/>
      <c r="J77" s="16" t="n"/>
      <c r="K77" s="12">
        <f>IF(A77="","",SUMIF(Sales!$C$2:$C$501,A77,Sales!$E$2:$E$501))</f>
        <v/>
      </c>
      <c r="L77" s="12">
        <f>IF(A77="","",H77-K77)</f>
        <v/>
      </c>
      <c r="M77" s="13">
        <f>IF(A77="","",ROUND(L77*I77,2))</f>
        <v/>
      </c>
      <c r="N77" s="13">
        <f>IF(A77="","",ROUND(L77*J77,2))</f>
        <v/>
      </c>
      <c r="O77" s="15" t="n"/>
      <c r="P77" s="12">
        <f>IF(A77="","",IF(COUNTIF($A$2:$A$501,A77)&gt;1,"Duplicate lot ID",IF(OR(B77="",H77="",I77="",J77=""),"Complete required fields",IF(L77&lt;0,"OVER SOLD","OK"))))</f>
        <v/>
      </c>
    </row>
    <row r="78" ht="23" customHeight="1">
      <c r="A78" s="9" t="n"/>
      <c r="B78" s="10" t="n"/>
      <c r="C78" s="10" t="n"/>
      <c r="D78" s="10" t="n"/>
      <c r="E78" s="10" t="n"/>
      <c r="F78" s="9" t="n"/>
      <c r="G78" s="10" t="n"/>
      <c r="H78" s="10" t="n"/>
      <c r="I78" s="11" t="n"/>
      <c r="J78" s="11" t="n"/>
      <c r="K78" s="12">
        <f>IF(A78="","",SUMIF(Sales!$C$2:$C$501,A78,Sales!$E$2:$E$501))</f>
        <v/>
      </c>
      <c r="L78" s="12">
        <f>IF(A78="","",H78-K78)</f>
        <v/>
      </c>
      <c r="M78" s="13">
        <f>IF(A78="","",ROUND(L78*I78,2))</f>
        <v/>
      </c>
      <c r="N78" s="13">
        <f>IF(A78="","",ROUND(L78*J78,2))</f>
        <v/>
      </c>
      <c r="O78" s="10" t="n"/>
      <c r="P78" s="12">
        <f>IF(A78="","",IF(COUNTIF($A$2:$A$501,A78)&gt;1,"Duplicate lot ID",IF(OR(B78="",H78="",I78="",J78=""),"Complete required fields",IF(L78&lt;0,"OVER SOLD","OK"))))</f>
        <v/>
      </c>
    </row>
    <row r="79" ht="23" customHeight="1">
      <c r="A79" s="14" t="n"/>
      <c r="B79" s="15" t="n"/>
      <c r="C79" s="15" t="n"/>
      <c r="D79" s="15" t="n"/>
      <c r="E79" s="15" t="n"/>
      <c r="F79" s="14" t="n"/>
      <c r="G79" s="15" t="n"/>
      <c r="H79" s="15" t="n"/>
      <c r="I79" s="16" t="n"/>
      <c r="J79" s="16" t="n"/>
      <c r="K79" s="12">
        <f>IF(A79="","",SUMIF(Sales!$C$2:$C$501,A79,Sales!$E$2:$E$501))</f>
        <v/>
      </c>
      <c r="L79" s="12">
        <f>IF(A79="","",H79-K79)</f>
        <v/>
      </c>
      <c r="M79" s="13">
        <f>IF(A79="","",ROUND(L79*I79,2))</f>
        <v/>
      </c>
      <c r="N79" s="13">
        <f>IF(A79="","",ROUND(L79*J79,2))</f>
        <v/>
      </c>
      <c r="O79" s="15" t="n"/>
      <c r="P79" s="12">
        <f>IF(A79="","",IF(COUNTIF($A$2:$A$501,A79)&gt;1,"Duplicate lot ID",IF(OR(B79="",H79="",I79="",J79=""),"Complete required fields",IF(L79&lt;0,"OVER SOLD","OK"))))</f>
        <v/>
      </c>
    </row>
    <row r="80" ht="23" customHeight="1">
      <c r="A80" s="9" t="n"/>
      <c r="B80" s="10" t="n"/>
      <c r="C80" s="10" t="n"/>
      <c r="D80" s="10" t="n"/>
      <c r="E80" s="10" t="n"/>
      <c r="F80" s="9" t="n"/>
      <c r="G80" s="10" t="n"/>
      <c r="H80" s="10" t="n"/>
      <c r="I80" s="11" t="n"/>
      <c r="J80" s="11" t="n"/>
      <c r="K80" s="12">
        <f>IF(A80="","",SUMIF(Sales!$C$2:$C$501,A80,Sales!$E$2:$E$501))</f>
        <v/>
      </c>
      <c r="L80" s="12">
        <f>IF(A80="","",H80-K80)</f>
        <v/>
      </c>
      <c r="M80" s="13">
        <f>IF(A80="","",ROUND(L80*I80,2))</f>
        <v/>
      </c>
      <c r="N80" s="13">
        <f>IF(A80="","",ROUND(L80*J80,2))</f>
        <v/>
      </c>
      <c r="O80" s="10" t="n"/>
      <c r="P80" s="12">
        <f>IF(A80="","",IF(COUNTIF($A$2:$A$501,A80)&gt;1,"Duplicate lot ID",IF(OR(B80="",H80="",I80="",J80=""),"Complete required fields",IF(L80&lt;0,"OVER SOLD","OK"))))</f>
        <v/>
      </c>
    </row>
    <row r="81" ht="23" customHeight="1">
      <c r="A81" s="14" t="n"/>
      <c r="B81" s="15" t="n"/>
      <c r="C81" s="15" t="n"/>
      <c r="D81" s="15" t="n"/>
      <c r="E81" s="15" t="n"/>
      <c r="F81" s="14" t="n"/>
      <c r="G81" s="15" t="n"/>
      <c r="H81" s="15" t="n"/>
      <c r="I81" s="16" t="n"/>
      <c r="J81" s="16" t="n"/>
      <c r="K81" s="12">
        <f>IF(A81="","",SUMIF(Sales!$C$2:$C$501,A81,Sales!$E$2:$E$501))</f>
        <v/>
      </c>
      <c r="L81" s="12">
        <f>IF(A81="","",H81-K81)</f>
        <v/>
      </c>
      <c r="M81" s="13">
        <f>IF(A81="","",ROUND(L81*I81,2))</f>
        <v/>
      </c>
      <c r="N81" s="13">
        <f>IF(A81="","",ROUND(L81*J81,2))</f>
        <v/>
      </c>
      <c r="O81" s="15" t="n"/>
      <c r="P81" s="12">
        <f>IF(A81="","",IF(COUNTIF($A$2:$A$501,A81)&gt;1,"Duplicate lot ID",IF(OR(B81="",H81="",I81="",J81=""),"Complete required fields",IF(L81&lt;0,"OVER SOLD","OK"))))</f>
        <v/>
      </c>
    </row>
    <row r="82" ht="23" customHeight="1">
      <c r="A82" s="9" t="n"/>
      <c r="B82" s="10" t="n"/>
      <c r="C82" s="10" t="n"/>
      <c r="D82" s="10" t="n"/>
      <c r="E82" s="10" t="n"/>
      <c r="F82" s="9" t="n"/>
      <c r="G82" s="10" t="n"/>
      <c r="H82" s="10" t="n"/>
      <c r="I82" s="11" t="n"/>
      <c r="J82" s="11" t="n"/>
      <c r="K82" s="12">
        <f>IF(A82="","",SUMIF(Sales!$C$2:$C$501,A82,Sales!$E$2:$E$501))</f>
        <v/>
      </c>
      <c r="L82" s="12">
        <f>IF(A82="","",H82-K82)</f>
        <v/>
      </c>
      <c r="M82" s="13">
        <f>IF(A82="","",ROUND(L82*I82,2))</f>
        <v/>
      </c>
      <c r="N82" s="13">
        <f>IF(A82="","",ROUND(L82*J82,2))</f>
        <v/>
      </c>
      <c r="O82" s="10" t="n"/>
      <c r="P82" s="12">
        <f>IF(A82="","",IF(COUNTIF($A$2:$A$501,A82)&gt;1,"Duplicate lot ID",IF(OR(B82="",H82="",I82="",J82=""),"Complete required fields",IF(L82&lt;0,"OVER SOLD","OK"))))</f>
        <v/>
      </c>
    </row>
    <row r="83" ht="23" customHeight="1">
      <c r="A83" s="14" t="n"/>
      <c r="B83" s="15" t="n"/>
      <c r="C83" s="15" t="n"/>
      <c r="D83" s="15" t="n"/>
      <c r="E83" s="15" t="n"/>
      <c r="F83" s="14" t="n"/>
      <c r="G83" s="15" t="n"/>
      <c r="H83" s="15" t="n"/>
      <c r="I83" s="16" t="n"/>
      <c r="J83" s="16" t="n"/>
      <c r="K83" s="12">
        <f>IF(A83="","",SUMIF(Sales!$C$2:$C$501,A83,Sales!$E$2:$E$501))</f>
        <v/>
      </c>
      <c r="L83" s="12">
        <f>IF(A83="","",H83-K83)</f>
        <v/>
      </c>
      <c r="M83" s="13">
        <f>IF(A83="","",ROUND(L83*I83,2))</f>
        <v/>
      </c>
      <c r="N83" s="13">
        <f>IF(A83="","",ROUND(L83*J83,2))</f>
        <v/>
      </c>
      <c r="O83" s="15" t="n"/>
      <c r="P83" s="12">
        <f>IF(A83="","",IF(COUNTIF($A$2:$A$501,A83)&gt;1,"Duplicate lot ID",IF(OR(B83="",H83="",I83="",J83=""),"Complete required fields",IF(L83&lt;0,"OVER SOLD","OK"))))</f>
        <v/>
      </c>
    </row>
    <row r="84" ht="23" customHeight="1">
      <c r="A84" s="9" t="n"/>
      <c r="B84" s="10" t="n"/>
      <c r="C84" s="10" t="n"/>
      <c r="D84" s="10" t="n"/>
      <c r="E84" s="10" t="n"/>
      <c r="F84" s="9" t="n"/>
      <c r="G84" s="10" t="n"/>
      <c r="H84" s="10" t="n"/>
      <c r="I84" s="11" t="n"/>
      <c r="J84" s="11" t="n"/>
      <c r="K84" s="12">
        <f>IF(A84="","",SUMIF(Sales!$C$2:$C$501,A84,Sales!$E$2:$E$501))</f>
        <v/>
      </c>
      <c r="L84" s="12">
        <f>IF(A84="","",H84-K84)</f>
        <v/>
      </c>
      <c r="M84" s="13">
        <f>IF(A84="","",ROUND(L84*I84,2))</f>
        <v/>
      </c>
      <c r="N84" s="13">
        <f>IF(A84="","",ROUND(L84*J84,2))</f>
        <v/>
      </c>
      <c r="O84" s="10" t="n"/>
      <c r="P84" s="12">
        <f>IF(A84="","",IF(COUNTIF($A$2:$A$501,A84)&gt;1,"Duplicate lot ID",IF(OR(B84="",H84="",I84="",J84=""),"Complete required fields",IF(L84&lt;0,"OVER SOLD","OK"))))</f>
        <v/>
      </c>
    </row>
    <row r="85" ht="23" customHeight="1">
      <c r="A85" s="14" t="n"/>
      <c r="B85" s="15" t="n"/>
      <c r="C85" s="15" t="n"/>
      <c r="D85" s="15" t="n"/>
      <c r="E85" s="15" t="n"/>
      <c r="F85" s="14" t="n"/>
      <c r="G85" s="15" t="n"/>
      <c r="H85" s="15" t="n"/>
      <c r="I85" s="16" t="n"/>
      <c r="J85" s="16" t="n"/>
      <c r="K85" s="12">
        <f>IF(A85="","",SUMIF(Sales!$C$2:$C$501,A85,Sales!$E$2:$E$501))</f>
        <v/>
      </c>
      <c r="L85" s="12">
        <f>IF(A85="","",H85-K85)</f>
        <v/>
      </c>
      <c r="M85" s="13">
        <f>IF(A85="","",ROUND(L85*I85,2))</f>
        <v/>
      </c>
      <c r="N85" s="13">
        <f>IF(A85="","",ROUND(L85*J85,2))</f>
        <v/>
      </c>
      <c r="O85" s="15" t="n"/>
      <c r="P85" s="12">
        <f>IF(A85="","",IF(COUNTIF($A$2:$A$501,A85)&gt;1,"Duplicate lot ID",IF(OR(B85="",H85="",I85="",J85=""),"Complete required fields",IF(L85&lt;0,"OVER SOLD","OK"))))</f>
        <v/>
      </c>
    </row>
    <row r="86" ht="23" customHeight="1">
      <c r="A86" s="9" t="n"/>
      <c r="B86" s="10" t="n"/>
      <c r="C86" s="10" t="n"/>
      <c r="D86" s="10" t="n"/>
      <c r="E86" s="10" t="n"/>
      <c r="F86" s="9" t="n"/>
      <c r="G86" s="10" t="n"/>
      <c r="H86" s="10" t="n"/>
      <c r="I86" s="11" t="n"/>
      <c r="J86" s="11" t="n"/>
      <c r="K86" s="12">
        <f>IF(A86="","",SUMIF(Sales!$C$2:$C$501,A86,Sales!$E$2:$E$501))</f>
        <v/>
      </c>
      <c r="L86" s="12">
        <f>IF(A86="","",H86-K86)</f>
        <v/>
      </c>
      <c r="M86" s="13">
        <f>IF(A86="","",ROUND(L86*I86,2))</f>
        <v/>
      </c>
      <c r="N86" s="13">
        <f>IF(A86="","",ROUND(L86*J86,2))</f>
        <v/>
      </c>
      <c r="O86" s="10" t="n"/>
      <c r="P86" s="12">
        <f>IF(A86="","",IF(COUNTIF($A$2:$A$501,A86)&gt;1,"Duplicate lot ID",IF(OR(B86="",H86="",I86="",J86=""),"Complete required fields",IF(L86&lt;0,"OVER SOLD","OK"))))</f>
        <v/>
      </c>
    </row>
    <row r="87" ht="23" customHeight="1">
      <c r="A87" s="14" t="n"/>
      <c r="B87" s="15" t="n"/>
      <c r="C87" s="15" t="n"/>
      <c r="D87" s="15" t="n"/>
      <c r="E87" s="15" t="n"/>
      <c r="F87" s="14" t="n"/>
      <c r="G87" s="15" t="n"/>
      <c r="H87" s="15" t="n"/>
      <c r="I87" s="16" t="n"/>
      <c r="J87" s="16" t="n"/>
      <c r="K87" s="12">
        <f>IF(A87="","",SUMIF(Sales!$C$2:$C$501,A87,Sales!$E$2:$E$501))</f>
        <v/>
      </c>
      <c r="L87" s="12">
        <f>IF(A87="","",H87-K87)</f>
        <v/>
      </c>
      <c r="M87" s="13">
        <f>IF(A87="","",ROUND(L87*I87,2))</f>
        <v/>
      </c>
      <c r="N87" s="13">
        <f>IF(A87="","",ROUND(L87*J87,2))</f>
        <v/>
      </c>
      <c r="O87" s="15" t="n"/>
      <c r="P87" s="12">
        <f>IF(A87="","",IF(COUNTIF($A$2:$A$501,A87)&gt;1,"Duplicate lot ID",IF(OR(B87="",H87="",I87="",J87=""),"Complete required fields",IF(L87&lt;0,"OVER SOLD","OK"))))</f>
        <v/>
      </c>
    </row>
    <row r="88" ht="23" customHeight="1">
      <c r="A88" s="9" t="n"/>
      <c r="B88" s="10" t="n"/>
      <c r="C88" s="10" t="n"/>
      <c r="D88" s="10" t="n"/>
      <c r="E88" s="10" t="n"/>
      <c r="F88" s="9" t="n"/>
      <c r="G88" s="10" t="n"/>
      <c r="H88" s="10" t="n"/>
      <c r="I88" s="11" t="n"/>
      <c r="J88" s="11" t="n"/>
      <c r="K88" s="12">
        <f>IF(A88="","",SUMIF(Sales!$C$2:$C$501,A88,Sales!$E$2:$E$501))</f>
        <v/>
      </c>
      <c r="L88" s="12">
        <f>IF(A88="","",H88-K88)</f>
        <v/>
      </c>
      <c r="M88" s="13">
        <f>IF(A88="","",ROUND(L88*I88,2))</f>
        <v/>
      </c>
      <c r="N88" s="13">
        <f>IF(A88="","",ROUND(L88*J88,2))</f>
        <v/>
      </c>
      <c r="O88" s="10" t="n"/>
      <c r="P88" s="12">
        <f>IF(A88="","",IF(COUNTIF($A$2:$A$501,A88)&gt;1,"Duplicate lot ID",IF(OR(B88="",H88="",I88="",J88=""),"Complete required fields",IF(L88&lt;0,"OVER SOLD","OK"))))</f>
        <v/>
      </c>
    </row>
    <row r="89" ht="23" customHeight="1">
      <c r="A89" s="14" t="n"/>
      <c r="B89" s="15" t="n"/>
      <c r="C89" s="15" t="n"/>
      <c r="D89" s="15" t="n"/>
      <c r="E89" s="15" t="n"/>
      <c r="F89" s="14" t="n"/>
      <c r="G89" s="15" t="n"/>
      <c r="H89" s="15" t="n"/>
      <c r="I89" s="16" t="n"/>
      <c r="J89" s="16" t="n"/>
      <c r="K89" s="12">
        <f>IF(A89="","",SUMIF(Sales!$C$2:$C$501,A89,Sales!$E$2:$E$501))</f>
        <v/>
      </c>
      <c r="L89" s="12">
        <f>IF(A89="","",H89-K89)</f>
        <v/>
      </c>
      <c r="M89" s="13">
        <f>IF(A89="","",ROUND(L89*I89,2))</f>
        <v/>
      </c>
      <c r="N89" s="13">
        <f>IF(A89="","",ROUND(L89*J89,2))</f>
        <v/>
      </c>
      <c r="O89" s="15" t="n"/>
      <c r="P89" s="12">
        <f>IF(A89="","",IF(COUNTIF($A$2:$A$501,A89)&gt;1,"Duplicate lot ID",IF(OR(B89="",H89="",I89="",J89=""),"Complete required fields",IF(L89&lt;0,"OVER SOLD","OK"))))</f>
        <v/>
      </c>
    </row>
    <row r="90" ht="23" customHeight="1">
      <c r="A90" s="9" t="n"/>
      <c r="B90" s="10" t="n"/>
      <c r="C90" s="10" t="n"/>
      <c r="D90" s="10" t="n"/>
      <c r="E90" s="10" t="n"/>
      <c r="F90" s="9" t="n"/>
      <c r="G90" s="10" t="n"/>
      <c r="H90" s="10" t="n"/>
      <c r="I90" s="11" t="n"/>
      <c r="J90" s="11" t="n"/>
      <c r="K90" s="12">
        <f>IF(A90="","",SUMIF(Sales!$C$2:$C$501,A90,Sales!$E$2:$E$501))</f>
        <v/>
      </c>
      <c r="L90" s="12">
        <f>IF(A90="","",H90-K90)</f>
        <v/>
      </c>
      <c r="M90" s="13">
        <f>IF(A90="","",ROUND(L90*I90,2))</f>
        <v/>
      </c>
      <c r="N90" s="13">
        <f>IF(A90="","",ROUND(L90*J90,2))</f>
        <v/>
      </c>
      <c r="O90" s="10" t="n"/>
      <c r="P90" s="12">
        <f>IF(A90="","",IF(COUNTIF($A$2:$A$501,A90)&gt;1,"Duplicate lot ID",IF(OR(B90="",H90="",I90="",J90=""),"Complete required fields",IF(L90&lt;0,"OVER SOLD","OK"))))</f>
        <v/>
      </c>
    </row>
    <row r="91" ht="23" customHeight="1">
      <c r="A91" s="14" t="n"/>
      <c r="B91" s="15" t="n"/>
      <c r="C91" s="15" t="n"/>
      <c r="D91" s="15" t="n"/>
      <c r="E91" s="15" t="n"/>
      <c r="F91" s="14" t="n"/>
      <c r="G91" s="15" t="n"/>
      <c r="H91" s="15" t="n"/>
      <c r="I91" s="16" t="n"/>
      <c r="J91" s="16" t="n"/>
      <c r="K91" s="12">
        <f>IF(A91="","",SUMIF(Sales!$C$2:$C$501,A91,Sales!$E$2:$E$501))</f>
        <v/>
      </c>
      <c r="L91" s="12">
        <f>IF(A91="","",H91-K91)</f>
        <v/>
      </c>
      <c r="M91" s="13">
        <f>IF(A91="","",ROUND(L91*I91,2))</f>
        <v/>
      </c>
      <c r="N91" s="13">
        <f>IF(A91="","",ROUND(L91*J91,2))</f>
        <v/>
      </c>
      <c r="O91" s="15" t="n"/>
      <c r="P91" s="12">
        <f>IF(A91="","",IF(COUNTIF($A$2:$A$501,A91)&gt;1,"Duplicate lot ID",IF(OR(B91="",H91="",I91="",J91=""),"Complete required fields",IF(L91&lt;0,"OVER SOLD","OK"))))</f>
        <v/>
      </c>
    </row>
    <row r="92" ht="23" customHeight="1">
      <c r="A92" s="9" t="n"/>
      <c r="B92" s="10" t="n"/>
      <c r="C92" s="10" t="n"/>
      <c r="D92" s="10" t="n"/>
      <c r="E92" s="10" t="n"/>
      <c r="F92" s="9" t="n"/>
      <c r="G92" s="10" t="n"/>
      <c r="H92" s="10" t="n"/>
      <c r="I92" s="11" t="n"/>
      <c r="J92" s="11" t="n"/>
      <c r="K92" s="12">
        <f>IF(A92="","",SUMIF(Sales!$C$2:$C$501,A92,Sales!$E$2:$E$501))</f>
        <v/>
      </c>
      <c r="L92" s="12">
        <f>IF(A92="","",H92-K92)</f>
        <v/>
      </c>
      <c r="M92" s="13">
        <f>IF(A92="","",ROUND(L92*I92,2))</f>
        <v/>
      </c>
      <c r="N92" s="13">
        <f>IF(A92="","",ROUND(L92*J92,2))</f>
        <v/>
      </c>
      <c r="O92" s="10" t="n"/>
      <c r="P92" s="12">
        <f>IF(A92="","",IF(COUNTIF($A$2:$A$501,A92)&gt;1,"Duplicate lot ID",IF(OR(B92="",H92="",I92="",J92=""),"Complete required fields",IF(L92&lt;0,"OVER SOLD","OK"))))</f>
        <v/>
      </c>
    </row>
    <row r="93" ht="23" customHeight="1">
      <c r="A93" s="14" t="n"/>
      <c r="B93" s="15" t="n"/>
      <c r="C93" s="15" t="n"/>
      <c r="D93" s="15" t="n"/>
      <c r="E93" s="15" t="n"/>
      <c r="F93" s="14" t="n"/>
      <c r="G93" s="15" t="n"/>
      <c r="H93" s="15" t="n"/>
      <c r="I93" s="16" t="n"/>
      <c r="J93" s="16" t="n"/>
      <c r="K93" s="12">
        <f>IF(A93="","",SUMIF(Sales!$C$2:$C$501,A93,Sales!$E$2:$E$501))</f>
        <v/>
      </c>
      <c r="L93" s="12">
        <f>IF(A93="","",H93-K93)</f>
        <v/>
      </c>
      <c r="M93" s="13">
        <f>IF(A93="","",ROUND(L93*I93,2))</f>
        <v/>
      </c>
      <c r="N93" s="13">
        <f>IF(A93="","",ROUND(L93*J93,2))</f>
        <v/>
      </c>
      <c r="O93" s="15" t="n"/>
      <c r="P93" s="12">
        <f>IF(A93="","",IF(COUNTIF($A$2:$A$501,A93)&gt;1,"Duplicate lot ID",IF(OR(B93="",H93="",I93="",J93=""),"Complete required fields",IF(L93&lt;0,"OVER SOLD","OK"))))</f>
        <v/>
      </c>
    </row>
    <row r="94" ht="23" customHeight="1">
      <c r="A94" s="9" t="n"/>
      <c r="B94" s="10" t="n"/>
      <c r="C94" s="10" t="n"/>
      <c r="D94" s="10" t="n"/>
      <c r="E94" s="10" t="n"/>
      <c r="F94" s="9" t="n"/>
      <c r="G94" s="10" t="n"/>
      <c r="H94" s="10" t="n"/>
      <c r="I94" s="11" t="n"/>
      <c r="J94" s="11" t="n"/>
      <c r="K94" s="12">
        <f>IF(A94="","",SUMIF(Sales!$C$2:$C$501,A94,Sales!$E$2:$E$501))</f>
        <v/>
      </c>
      <c r="L94" s="12">
        <f>IF(A94="","",H94-K94)</f>
        <v/>
      </c>
      <c r="M94" s="13">
        <f>IF(A94="","",ROUND(L94*I94,2))</f>
        <v/>
      </c>
      <c r="N94" s="13">
        <f>IF(A94="","",ROUND(L94*J94,2))</f>
        <v/>
      </c>
      <c r="O94" s="10" t="n"/>
      <c r="P94" s="12">
        <f>IF(A94="","",IF(COUNTIF($A$2:$A$501,A94)&gt;1,"Duplicate lot ID",IF(OR(B94="",H94="",I94="",J94=""),"Complete required fields",IF(L94&lt;0,"OVER SOLD","OK"))))</f>
        <v/>
      </c>
    </row>
    <row r="95" ht="23" customHeight="1">
      <c r="A95" s="14" t="n"/>
      <c r="B95" s="15" t="n"/>
      <c r="C95" s="15" t="n"/>
      <c r="D95" s="15" t="n"/>
      <c r="E95" s="15" t="n"/>
      <c r="F95" s="14" t="n"/>
      <c r="G95" s="15" t="n"/>
      <c r="H95" s="15" t="n"/>
      <c r="I95" s="16" t="n"/>
      <c r="J95" s="16" t="n"/>
      <c r="K95" s="12">
        <f>IF(A95="","",SUMIF(Sales!$C$2:$C$501,A95,Sales!$E$2:$E$501))</f>
        <v/>
      </c>
      <c r="L95" s="12">
        <f>IF(A95="","",H95-K95)</f>
        <v/>
      </c>
      <c r="M95" s="13">
        <f>IF(A95="","",ROUND(L95*I95,2))</f>
        <v/>
      </c>
      <c r="N95" s="13">
        <f>IF(A95="","",ROUND(L95*J95,2))</f>
        <v/>
      </c>
      <c r="O95" s="15" t="n"/>
      <c r="P95" s="12">
        <f>IF(A95="","",IF(COUNTIF($A$2:$A$501,A95)&gt;1,"Duplicate lot ID",IF(OR(B95="",H95="",I95="",J95=""),"Complete required fields",IF(L95&lt;0,"OVER SOLD","OK"))))</f>
        <v/>
      </c>
    </row>
    <row r="96" ht="23" customHeight="1">
      <c r="A96" s="9" t="n"/>
      <c r="B96" s="10" t="n"/>
      <c r="C96" s="10" t="n"/>
      <c r="D96" s="10" t="n"/>
      <c r="E96" s="10" t="n"/>
      <c r="F96" s="9" t="n"/>
      <c r="G96" s="10" t="n"/>
      <c r="H96" s="10" t="n"/>
      <c r="I96" s="11" t="n"/>
      <c r="J96" s="11" t="n"/>
      <c r="K96" s="12">
        <f>IF(A96="","",SUMIF(Sales!$C$2:$C$501,A96,Sales!$E$2:$E$501))</f>
        <v/>
      </c>
      <c r="L96" s="12">
        <f>IF(A96="","",H96-K96)</f>
        <v/>
      </c>
      <c r="M96" s="13">
        <f>IF(A96="","",ROUND(L96*I96,2))</f>
        <v/>
      </c>
      <c r="N96" s="13">
        <f>IF(A96="","",ROUND(L96*J96,2))</f>
        <v/>
      </c>
      <c r="O96" s="10" t="n"/>
      <c r="P96" s="12">
        <f>IF(A96="","",IF(COUNTIF($A$2:$A$501,A96)&gt;1,"Duplicate lot ID",IF(OR(B96="",H96="",I96="",J96=""),"Complete required fields",IF(L96&lt;0,"OVER SOLD","OK"))))</f>
        <v/>
      </c>
    </row>
    <row r="97" ht="23" customHeight="1">
      <c r="A97" s="14" t="n"/>
      <c r="B97" s="15" t="n"/>
      <c r="C97" s="15" t="n"/>
      <c r="D97" s="15" t="n"/>
      <c r="E97" s="15" t="n"/>
      <c r="F97" s="14" t="n"/>
      <c r="G97" s="15" t="n"/>
      <c r="H97" s="15" t="n"/>
      <c r="I97" s="16" t="n"/>
      <c r="J97" s="16" t="n"/>
      <c r="K97" s="12">
        <f>IF(A97="","",SUMIF(Sales!$C$2:$C$501,A97,Sales!$E$2:$E$501))</f>
        <v/>
      </c>
      <c r="L97" s="12">
        <f>IF(A97="","",H97-K97)</f>
        <v/>
      </c>
      <c r="M97" s="13">
        <f>IF(A97="","",ROUND(L97*I97,2))</f>
        <v/>
      </c>
      <c r="N97" s="13">
        <f>IF(A97="","",ROUND(L97*J97,2))</f>
        <v/>
      </c>
      <c r="O97" s="15" t="n"/>
      <c r="P97" s="12">
        <f>IF(A97="","",IF(COUNTIF($A$2:$A$501,A97)&gt;1,"Duplicate lot ID",IF(OR(B97="",H97="",I97="",J97=""),"Complete required fields",IF(L97&lt;0,"OVER SOLD","OK"))))</f>
        <v/>
      </c>
    </row>
    <row r="98" ht="23" customHeight="1">
      <c r="A98" s="9" t="n"/>
      <c r="B98" s="10" t="n"/>
      <c r="C98" s="10" t="n"/>
      <c r="D98" s="10" t="n"/>
      <c r="E98" s="10" t="n"/>
      <c r="F98" s="9" t="n"/>
      <c r="G98" s="10" t="n"/>
      <c r="H98" s="10" t="n"/>
      <c r="I98" s="11" t="n"/>
      <c r="J98" s="11" t="n"/>
      <c r="K98" s="12">
        <f>IF(A98="","",SUMIF(Sales!$C$2:$C$501,A98,Sales!$E$2:$E$501))</f>
        <v/>
      </c>
      <c r="L98" s="12">
        <f>IF(A98="","",H98-K98)</f>
        <v/>
      </c>
      <c r="M98" s="13">
        <f>IF(A98="","",ROUND(L98*I98,2))</f>
        <v/>
      </c>
      <c r="N98" s="13">
        <f>IF(A98="","",ROUND(L98*J98,2))</f>
        <v/>
      </c>
      <c r="O98" s="10" t="n"/>
      <c r="P98" s="12">
        <f>IF(A98="","",IF(COUNTIF($A$2:$A$501,A98)&gt;1,"Duplicate lot ID",IF(OR(B98="",H98="",I98="",J98=""),"Complete required fields",IF(L98&lt;0,"OVER SOLD","OK"))))</f>
        <v/>
      </c>
    </row>
    <row r="99" ht="23" customHeight="1">
      <c r="A99" s="14" t="n"/>
      <c r="B99" s="15" t="n"/>
      <c r="C99" s="15" t="n"/>
      <c r="D99" s="15" t="n"/>
      <c r="E99" s="15" t="n"/>
      <c r="F99" s="14" t="n"/>
      <c r="G99" s="15" t="n"/>
      <c r="H99" s="15" t="n"/>
      <c r="I99" s="16" t="n"/>
      <c r="J99" s="16" t="n"/>
      <c r="K99" s="12">
        <f>IF(A99="","",SUMIF(Sales!$C$2:$C$501,A99,Sales!$E$2:$E$501))</f>
        <v/>
      </c>
      <c r="L99" s="12">
        <f>IF(A99="","",H99-K99)</f>
        <v/>
      </c>
      <c r="M99" s="13">
        <f>IF(A99="","",ROUND(L99*I99,2))</f>
        <v/>
      </c>
      <c r="N99" s="13">
        <f>IF(A99="","",ROUND(L99*J99,2))</f>
        <v/>
      </c>
      <c r="O99" s="15" t="n"/>
      <c r="P99" s="12">
        <f>IF(A99="","",IF(COUNTIF($A$2:$A$501,A99)&gt;1,"Duplicate lot ID",IF(OR(B99="",H99="",I99="",J99=""),"Complete required fields",IF(L99&lt;0,"OVER SOLD","OK"))))</f>
        <v/>
      </c>
    </row>
    <row r="100" ht="23" customHeight="1">
      <c r="A100" s="9" t="n"/>
      <c r="B100" s="10" t="n"/>
      <c r="C100" s="10" t="n"/>
      <c r="D100" s="10" t="n"/>
      <c r="E100" s="10" t="n"/>
      <c r="F100" s="9" t="n"/>
      <c r="G100" s="10" t="n"/>
      <c r="H100" s="10" t="n"/>
      <c r="I100" s="11" t="n"/>
      <c r="J100" s="11" t="n"/>
      <c r="K100" s="12">
        <f>IF(A100="","",SUMIF(Sales!$C$2:$C$501,A100,Sales!$E$2:$E$501))</f>
        <v/>
      </c>
      <c r="L100" s="12">
        <f>IF(A100="","",H100-K100)</f>
        <v/>
      </c>
      <c r="M100" s="13">
        <f>IF(A100="","",ROUND(L100*I100,2))</f>
        <v/>
      </c>
      <c r="N100" s="13">
        <f>IF(A100="","",ROUND(L100*J100,2))</f>
        <v/>
      </c>
      <c r="O100" s="10" t="n"/>
      <c r="P100" s="12">
        <f>IF(A100="","",IF(COUNTIF($A$2:$A$501,A100)&gt;1,"Duplicate lot ID",IF(OR(B100="",H100="",I100="",J100=""),"Complete required fields",IF(L100&lt;0,"OVER SOLD","OK"))))</f>
        <v/>
      </c>
    </row>
    <row r="101" ht="23" customHeight="1">
      <c r="A101" s="14" t="n"/>
      <c r="B101" s="15" t="n"/>
      <c r="C101" s="15" t="n"/>
      <c r="D101" s="15" t="n"/>
      <c r="E101" s="15" t="n"/>
      <c r="F101" s="14" t="n"/>
      <c r="G101" s="15" t="n"/>
      <c r="H101" s="15" t="n"/>
      <c r="I101" s="16" t="n"/>
      <c r="J101" s="16" t="n"/>
      <c r="K101" s="12">
        <f>IF(A101="","",SUMIF(Sales!$C$2:$C$501,A101,Sales!$E$2:$E$501))</f>
        <v/>
      </c>
      <c r="L101" s="12">
        <f>IF(A101="","",H101-K101)</f>
        <v/>
      </c>
      <c r="M101" s="13">
        <f>IF(A101="","",ROUND(L101*I101,2))</f>
        <v/>
      </c>
      <c r="N101" s="13">
        <f>IF(A101="","",ROUND(L101*J101,2))</f>
        <v/>
      </c>
      <c r="O101" s="15" t="n"/>
      <c r="P101" s="12">
        <f>IF(A101="","",IF(COUNTIF($A$2:$A$501,A101)&gt;1,"Duplicate lot ID",IF(OR(B101="",H101="",I101="",J101=""),"Complete required fields",IF(L101&lt;0,"OVER SOLD","OK"))))</f>
        <v/>
      </c>
    </row>
    <row r="102" ht="23" customHeight="1">
      <c r="A102" s="9" t="n"/>
      <c r="B102" s="10" t="n"/>
      <c r="C102" s="10" t="n"/>
      <c r="D102" s="10" t="n"/>
      <c r="E102" s="10" t="n"/>
      <c r="F102" s="9" t="n"/>
      <c r="G102" s="10" t="n"/>
      <c r="H102" s="10" t="n"/>
      <c r="I102" s="11" t="n"/>
      <c r="J102" s="11" t="n"/>
      <c r="K102" s="12">
        <f>IF(A102="","",SUMIF(Sales!$C$2:$C$501,A102,Sales!$E$2:$E$501))</f>
        <v/>
      </c>
      <c r="L102" s="12">
        <f>IF(A102="","",H102-K102)</f>
        <v/>
      </c>
      <c r="M102" s="13">
        <f>IF(A102="","",ROUND(L102*I102,2))</f>
        <v/>
      </c>
      <c r="N102" s="13">
        <f>IF(A102="","",ROUND(L102*J102,2))</f>
        <v/>
      </c>
      <c r="O102" s="10" t="n"/>
      <c r="P102" s="12">
        <f>IF(A102="","",IF(COUNTIF($A$2:$A$501,A102)&gt;1,"Duplicate lot ID",IF(OR(B102="",H102="",I102="",J102=""),"Complete required fields",IF(L102&lt;0,"OVER SOLD","OK"))))</f>
        <v/>
      </c>
    </row>
    <row r="103" ht="23" customHeight="1">
      <c r="A103" s="14" t="n"/>
      <c r="B103" s="15" t="n"/>
      <c r="C103" s="15" t="n"/>
      <c r="D103" s="15" t="n"/>
      <c r="E103" s="15" t="n"/>
      <c r="F103" s="14" t="n"/>
      <c r="G103" s="15" t="n"/>
      <c r="H103" s="15" t="n"/>
      <c r="I103" s="16" t="n"/>
      <c r="J103" s="16" t="n"/>
      <c r="K103" s="12">
        <f>IF(A103="","",SUMIF(Sales!$C$2:$C$501,A103,Sales!$E$2:$E$501))</f>
        <v/>
      </c>
      <c r="L103" s="12">
        <f>IF(A103="","",H103-K103)</f>
        <v/>
      </c>
      <c r="M103" s="13">
        <f>IF(A103="","",ROUND(L103*I103,2))</f>
        <v/>
      </c>
      <c r="N103" s="13">
        <f>IF(A103="","",ROUND(L103*J103,2))</f>
        <v/>
      </c>
      <c r="O103" s="15" t="n"/>
      <c r="P103" s="12">
        <f>IF(A103="","",IF(COUNTIF($A$2:$A$501,A103)&gt;1,"Duplicate lot ID",IF(OR(B103="",H103="",I103="",J103=""),"Complete required fields",IF(L103&lt;0,"OVER SOLD","OK"))))</f>
        <v/>
      </c>
    </row>
    <row r="104" ht="23" customHeight="1">
      <c r="A104" s="9" t="n"/>
      <c r="B104" s="10" t="n"/>
      <c r="C104" s="10" t="n"/>
      <c r="D104" s="10" t="n"/>
      <c r="E104" s="10" t="n"/>
      <c r="F104" s="9" t="n"/>
      <c r="G104" s="10" t="n"/>
      <c r="H104" s="10" t="n"/>
      <c r="I104" s="11" t="n"/>
      <c r="J104" s="11" t="n"/>
      <c r="K104" s="12">
        <f>IF(A104="","",SUMIF(Sales!$C$2:$C$501,A104,Sales!$E$2:$E$501))</f>
        <v/>
      </c>
      <c r="L104" s="12">
        <f>IF(A104="","",H104-K104)</f>
        <v/>
      </c>
      <c r="M104" s="13">
        <f>IF(A104="","",ROUND(L104*I104,2))</f>
        <v/>
      </c>
      <c r="N104" s="13">
        <f>IF(A104="","",ROUND(L104*J104,2))</f>
        <v/>
      </c>
      <c r="O104" s="10" t="n"/>
      <c r="P104" s="12">
        <f>IF(A104="","",IF(COUNTIF($A$2:$A$501,A104)&gt;1,"Duplicate lot ID",IF(OR(B104="",H104="",I104="",J104=""),"Complete required fields",IF(L104&lt;0,"OVER SOLD","OK"))))</f>
        <v/>
      </c>
    </row>
    <row r="105" ht="23" customHeight="1">
      <c r="A105" s="14" t="n"/>
      <c r="B105" s="15" t="n"/>
      <c r="C105" s="15" t="n"/>
      <c r="D105" s="15" t="n"/>
      <c r="E105" s="15" t="n"/>
      <c r="F105" s="14" t="n"/>
      <c r="G105" s="15" t="n"/>
      <c r="H105" s="15" t="n"/>
      <c r="I105" s="16" t="n"/>
      <c r="J105" s="16" t="n"/>
      <c r="K105" s="12">
        <f>IF(A105="","",SUMIF(Sales!$C$2:$C$501,A105,Sales!$E$2:$E$501))</f>
        <v/>
      </c>
      <c r="L105" s="12">
        <f>IF(A105="","",H105-K105)</f>
        <v/>
      </c>
      <c r="M105" s="13">
        <f>IF(A105="","",ROUND(L105*I105,2))</f>
        <v/>
      </c>
      <c r="N105" s="13">
        <f>IF(A105="","",ROUND(L105*J105,2))</f>
        <v/>
      </c>
      <c r="O105" s="15" t="n"/>
      <c r="P105" s="12">
        <f>IF(A105="","",IF(COUNTIF($A$2:$A$501,A105)&gt;1,"Duplicate lot ID",IF(OR(B105="",H105="",I105="",J105=""),"Complete required fields",IF(L105&lt;0,"OVER SOLD","OK"))))</f>
        <v/>
      </c>
    </row>
    <row r="106" ht="23" customHeight="1">
      <c r="A106" s="9" t="n"/>
      <c r="B106" s="10" t="n"/>
      <c r="C106" s="10" t="n"/>
      <c r="D106" s="10" t="n"/>
      <c r="E106" s="10" t="n"/>
      <c r="F106" s="9" t="n"/>
      <c r="G106" s="10" t="n"/>
      <c r="H106" s="10" t="n"/>
      <c r="I106" s="11" t="n"/>
      <c r="J106" s="11" t="n"/>
      <c r="K106" s="12">
        <f>IF(A106="","",SUMIF(Sales!$C$2:$C$501,A106,Sales!$E$2:$E$501))</f>
        <v/>
      </c>
      <c r="L106" s="12">
        <f>IF(A106="","",H106-K106)</f>
        <v/>
      </c>
      <c r="M106" s="13">
        <f>IF(A106="","",ROUND(L106*I106,2))</f>
        <v/>
      </c>
      <c r="N106" s="13">
        <f>IF(A106="","",ROUND(L106*J106,2))</f>
        <v/>
      </c>
      <c r="O106" s="10" t="n"/>
      <c r="P106" s="12">
        <f>IF(A106="","",IF(COUNTIF($A$2:$A$501,A106)&gt;1,"Duplicate lot ID",IF(OR(B106="",H106="",I106="",J106=""),"Complete required fields",IF(L106&lt;0,"OVER SOLD","OK"))))</f>
        <v/>
      </c>
    </row>
    <row r="107" ht="23" customHeight="1">
      <c r="A107" s="14" t="n"/>
      <c r="B107" s="15" t="n"/>
      <c r="C107" s="15" t="n"/>
      <c r="D107" s="15" t="n"/>
      <c r="E107" s="15" t="n"/>
      <c r="F107" s="14" t="n"/>
      <c r="G107" s="15" t="n"/>
      <c r="H107" s="15" t="n"/>
      <c r="I107" s="16" t="n"/>
      <c r="J107" s="16" t="n"/>
      <c r="K107" s="12">
        <f>IF(A107="","",SUMIF(Sales!$C$2:$C$501,A107,Sales!$E$2:$E$501))</f>
        <v/>
      </c>
      <c r="L107" s="12">
        <f>IF(A107="","",H107-K107)</f>
        <v/>
      </c>
      <c r="M107" s="13">
        <f>IF(A107="","",ROUND(L107*I107,2))</f>
        <v/>
      </c>
      <c r="N107" s="13">
        <f>IF(A107="","",ROUND(L107*J107,2))</f>
        <v/>
      </c>
      <c r="O107" s="15" t="n"/>
      <c r="P107" s="12">
        <f>IF(A107="","",IF(COUNTIF($A$2:$A$501,A107)&gt;1,"Duplicate lot ID",IF(OR(B107="",H107="",I107="",J107=""),"Complete required fields",IF(L107&lt;0,"OVER SOLD","OK"))))</f>
        <v/>
      </c>
    </row>
    <row r="108" ht="23" customHeight="1">
      <c r="A108" s="9" t="n"/>
      <c r="B108" s="10" t="n"/>
      <c r="C108" s="10" t="n"/>
      <c r="D108" s="10" t="n"/>
      <c r="E108" s="10" t="n"/>
      <c r="F108" s="9" t="n"/>
      <c r="G108" s="10" t="n"/>
      <c r="H108" s="10" t="n"/>
      <c r="I108" s="11" t="n"/>
      <c r="J108" s="11" t="n"/>
      <c r="K108" s="12">
        <f>IF(A108="","",SUMIF(Sales!$C$2:$C$501,A108,Sales!$E$2:$E$501))</f>
        <v/>
      </c>
      <c r="L108" s="12">
        <f>IF(A108="","",H108-K108)</f>
        <v/>
      </c>
      <c r="M108" s="13">
        <f>IF(A108="","",ROUND(L108*I108,2))</f>
        <v/>
      </c>
      <c r="N108" s="13">
        <f>IF(A108="","",ROUND(L108*J108,2))</f>
        <v/>
      </c>
      <c r="O108" s="10" t="n"/>
      <c r="P108" s="12">
        <f>IF(A108="","",IF(COUNTIF($A$2:$A$501,A108)&gt;1,"Duplicate lot ID",IF(OR(B108="",H108="",I108="",J108=""),"Complete required fields",IF(L108&lt;0,"OVER SOLD","OK"))))</f>
        <v/>
      </c>
    </row>
    <row r="109" ht="23" customHeight="1">
      <c r="A109" s="14" t="n"/>
      <c r="B109" s="15" t="n"/>
      <c r="C109" s="15" t="n"/>
      <c r="D109" s="15" t="n"/>
      <c r="E109" s="15" t="n"/>
      <c r="F109" s="14" t="n"/>
      <c r="G109" s="15" t="n"/>
      <c r="H109" s="15" t="n"/>
      <c r="I109" s="16" t="n"/>
      <c r="J109" s="16" t="n"/>
      <c r="K109" s="12">
        <f>IF(A109="","",SUMIF(Sales!$C$2:$C$501,A109,Sales!$E$2:$E$501))</f>
        <v/>
      </c>
      <c r="L109" s="12">
        <f>IF(A109="","",H109-K109)</f>
        <v/>
      </c>
      <c r="M109" s="13">
        <f>IF(A109="","",ROUND(L109*I109,2))</f>
        <v/>
      </c>
      <c r="N109" s="13">
        <f>IF(A109="","",ROUND(L109*J109,2))</f>
        <v/>
      </c>
      <c r="O109" s="15" t="n"/>
      <c r="P109" s="12">
        <f>IF(A109="","",IF(COUNTIF($A$2:$A$501,A109)&gt;1,"Duplicate lot ID",IF(OR(B109="",H109="",I109="",J109=""),"Complete required fields",IF(L109&lt;0,"OVER SOLD","OK"))))</f>
        <v/>
      </c>
    </row>
    <row r="110" ht="23" customHeight="1">
      <c r="A110" s="9" t="n"/>
      <c r="B110" s="10" t="n"/>
      <c r="C110" s="10" t="n"/>
      <c r="D110" s="10" t="n"/>
      <c r="E110" s="10" t="n"/>
      <c r="F110" s="9" t="n"/>
      <c r="G110" s="10" t="n"/>
      <c r="H110" s="10" t="n"/>
      <c r="I110" s="11" t="n"/>
      <c r="J110" s="11" t="n"/>
      <c r="K110" s="12">
        <f>IF(A110="","",SUMIF(Sales!$C$2:$C$501,A110,Sales!$E$2:$E$501))</f>
        <v/>
      </c>
      <c r="L110" s="12">
        <f>IF(A110="","",H110-K110)</f>
        <v/>
      </c>
      <c r="M110" s="13">
        <f>IF(A110="","",ROUND(L110*I110,2))</f>
        <v/>
      </c>
      <c r="N110" s="13">
        <f>IF(A110="","",ROUND(L110*J110,2))</f>
        <v/>
      </c>
      <c r="O110" s="10" t="n"/>
      <c r="P110" s="12">
        <f>IF(A110="","",IF(COUNTIF($A$2:$A$501,A110)&gt;1,"Duplicate lot ID",IF(OR(B110="",H110="",I110="",J110=""),"Complete required fields",IF(L110&lt;0,"OVER SOLD","OK"))))</f>
        <v/>
      </c>
    </row>
    <row r="111" ht="23" customHeight="1">
      <c r="A111" s="14" t="n"/>
      <c r="B111" s="15" t="n"/>
      <c r="C111" s="15" t="n"/>
      <c r="D111" s="15" t="n"/>
      <c r="E111" s="15" t="n"/>
      <c r="F111" s="14" t="n"/>
      <c r="G111" s="15" t="n"/>
      <c r="H111" s="15" t="n"/>
      <c r="I111" s="16" t="n"/>
      <c r="J111" s="16" t="n"/>
      <c r="K111" s="12">
        <f>IF(A111="","",SUMIF(Sales!$C$2:$C$501,A111,Sales!$E$2:$E$501))</f>
        <v/>
      </c>
      <c r="L111" s="12">
        <f>IF(A111="","",H111-K111)</f>
        <v/>
      </c>
      <c r="M111" s="13">
        <f>IF(A111="","",ROUND(L111*I111,2))</f>
        <v/>
      </c>
      <c r="N111" s="13">
        <f>IF(A111="","",ROUND(L111*J111,2))</f>
        <v/>
      </c>
      <c r="O111" s="15" t="n"/>
      <c r="P111" s="12">
        <f>IF(A111="","",IF(COUNTIF($A$2:$A$501,A111)&gt;1,"Duplicate lot ID",IF(OR(B111="",H111="",I111="",J111=""),"Complete required fields",IF(L111&lt;0,"OVER SOLD","OK"))))</f>
        <v/>
      </c>
    </row>
    <row r="112" ht="23" customHeight="1">
      <c r="A112" s="9" t="n"/>
      <c r="B112" s="10" t="n"/>
      <c r="C112" s="10" t="n"/>
      <c r="D112" s="10" t="n"/>
      <c r="E112" s="10" t="n"/>
      <c r="F112" s="9" t="n"/>
      <c r="G112" s="10" t="n"/>
      <c r="H112" s="10" t="n"/>
      <c r="I112" s="11" t="n"/>
      <c r="J112" s="11" t="n"/>
      <c r="K112" s="12">
        <f>IF(A112="","",SUMIF(Sales!$C$2:$C$501,A112,Sales!$E$2:$E$501))</f>
        <v/>
      </c>
      <c r="L112" s="12">
        <f>IF(A112="","",H112-K112)</f>
        <v/>
      </c>
      <c r="M112" s="13">
        <f>IF(A112="","",ROUND(L112*I112,2))</f>
        <v/>
      </c>
      <c r="N112" s="13">
        <f>IF(A112="","",ROUND(L112*J112,2))</f>
        <v/>
      </c>
      <c r="O112" s="10" t="n"/>
      <c r="P112" s="12">
        <f>IF(A112="","",IF(COUNTIF($A$2:$A$501,A112)&gt;1,"Duplicate lot ID",IF(OR(B112="",H112="",I112="",J112=""),"Complete required fields",IF(L112&lt;0,"OVER SOLD","OK"))))</f>
        <v/>
      </c>
    </row>
    <row r="113" ht="23" customHeight="1">
      <c r="A113" s="14" t="n"/>
      <c r="B113" s="15" t="n"/>
      <c r="C113" s="15" t="n"/>
      <c r="D113" s="15" t="n"/>
      <c r="E113" s="15" t="n"/>
      <c r="F113" s="14" t="n"/>
      <c r="G113" s="15" t="n"/>
      <c r="H113" s="15" t="n"/>
      <c r="I113" s="16" t="n"/>
      <c r="J113" s="16" t="n"/>
      <c r="K113" s="12">
        <f>IF(A113="","",SUMIF(Sales!$C$2:$C$501,A113,Sales!$E$2:$E$501))</f>
        <v/>
      </c>
      <c r="L113" s="12">
        <f>IF(A113="","",H113-K113)</f>
        <v/>
      </c>
      <c r="M113" s="13">
        <f>IF(A113="","",ROUND(L113*I113,2))</f>
        <v/>
      </c>
      <c r="N113" s="13">
        <f>IF(A113="","",ROUND(L113*J113,2))</f>
        <v/>
      </c>
      <c r="O113" s="15" t="n"/>
      <c r="P113" s="12">
        <f>IF(A113="","",IF(COUNTIF($A$2:$A$501,A113)&gt;1,"Duplicate lot ID",IF(OR(B113="",H113="",I113="",J113=""),"Complete required fields",IF(L113&lt;0,"OVER SOLD","OK"))))</f>
        <v/>
      </c>
    </row>
    <row r="114" ht="23" customHeight="1">
      <c r="A114" s="9" t="n"/>
      <c r="B114" s="10" t="n"/>
      <c r="C114" s="10" t="n"/>
      <c r="D114" s="10" t="n"/>
      <c r="E114" s="10" t="n"/>
      <c r="F114" s="9" t="n"/>
      <c r="G114" s="10" t="n"/>
      <c r="H114" s="10" t="n"/>
      <c r="I114" s="11" t="n"/>
      <c r="J114" s="11" t="n"/>
      <c r="K114" s="12">
        <f>IF(A114="","",SUMIF(Sales!$C$2:$C$501,A114,Sales!$E$2:$E$501))</f>
        <v/>
      </c>
      <c r="L114" s="12">
        <f>IF(A114="","",H114-K114)</f>
        <v/>
      </c>
      <c r="M114" s="13">
        <f>IF(A114="","",ROUND(L114*I114,2))</f>
        <v/>
      </c>
      <c r="N114" s="13">
        <f>IF(A114="","",ROUND(L114*J114,2))</f>
        <v/>
      </c>
      <c r="O114" s="10" t="n"/>
      <c r="P114" s="12">
        <f>IF(A114="","",IF(COUNTIF($A$2:$A$501,A114)&gt;1,"Duplicate lot ID",IF(OR(B114="",H114="",I114="",J114=""),"Complete required fields",IF(L114&lt;0,"OVER SOLD","OK"))))</f>
        <v/>
      </c>
    </row>
    <row r="115" ht="23" customHeight="1">
      <c r="A115" s="14" t="n"/>
      <c r="B115" s="15" t="n"/>
      <c r="C115" s="15" t="n"/>
      <c r="D115" s="15" t="n"/>
      <c r="E115" s="15" t="n"/>
      <c r="F115" s="14" t="n"/>
      <c r="G115" s="15" t="n"/>
      <c r="H115" s="15" t="n"/>
      <c r="I115" s="16" t="n"/>
      <c r="J115" s="16" t="n"/>
      <c r="K115" s="12">
        <f>IF(A115="","",SUMIF(Sales!$C$2:$C$501,A115,Sales!$E$2:$E$501))</f>
        <v/>
      </c>
      <c r="L115" s="12">
        <f>IF(A115="","",H115-K115)</f>
        <v/>
      </c>
      <c r="M115" s="13">
        <f>IF(A115="","",ROUND(L115*I115,2))</f>
        <v/>
      </c>
      <c r="N115" s="13">
        <f>IF(A115="","",ROUND(L115*J115,2))</f>
        <v/>
      </c>
      <c r="O115" s="15" t="n"/>
      <c r="P115" s="12">
        <f>IF(A115="","",IF(COUNTIF($A$2:$A$501,A115)&gt;1,"Duplicate lot ID",IF(OR(B115="",H115="",I115="",J115=""),"Complete required fields",IF(L115&lt;0,"OVER SOLD","OK"))))</f>
        <v/>
      </c>
    </row>
    <row r="116" ht="23" customHeight="1">
      <c r="A116" s="9" t="n"/>
      <c r="B116" s="10" t="n"/>
      <c r="C116" s="10" t="n"/>
      <c r="D116" s="10" t="n"/>
      <c r="E116" s="10" t="n"/>
      <c r="F116" s="9" t="n"/>
      <c r="G116" s="10" t="n"/>
      <c r="H116" s="10" t="n"/>
      <c r="I116" s="11" t="n"/>
      <c r="J116" s="11" t="n"/>
      <c r="K116" s="12">
        <f>IF(A116="","",SUMIF(Sales!$C$2:$C$501,A116,Sales!$E$2:$E$501))</f>
        <v/>
      </c>
      <c r="L116" s="12">
        <f>IF(A116="","",H116-K116)</f>
        <v/>
      </c>
      <c r="M116" s="13">
        <f>IF(A116="","",ROUND(L116*I116,2))</f>
        <v/>
      </c>
      <c r="N116" s="13">
        <f>IF(A116="","",ROUND(L116*J116,2))</f>
        <v/>
      </c>
      <c r="O116" s="10" t="n"/>
      <c r="P116" s="12">
        <f>IF(A116="","",IF(COUNTIF($A$2:$A$501,A116)&gt;1,"Duplicate lot ID",IF(OR(B116="",H116="",I116="",J116=""),"Complete required fields",IF(L116&lt;0,"OVER SOLD","OK"))))</f>
        <v/>
      </c>
    </row>
    <row r="117" ht="23" customHeight="1">
      <c r="A117" s="14" t="n"/>
      <c r="B117" s="15" t="n"/>
      <c r="C117" s="15" t="n"/>
      <c r="D117" s="15" t="n"/>
      <c r="E117" s="15" t="n"/>
      <c r="F117" s="14" t="n"/>
      <c r="G117" s="15" t="n"/>
      <c r="H117" s="15" t="n"/>
      <c r="I117" s="16" t="n"/>
      <c r="J117" s="16" t="n"/>
      <c r="K117" s="12">
        <f>IF(A117="","",SUMIF(Sales!$C$2:$C$501,A117,Sales!$E$2:$E$501))</f>
        <v/>
      </c>
      <c r="L117" s="12">
        <f>IF(A117="","",H117-K117)</f>
        <v/>
      </c>
      <c r="M117" s="13">
        <f>IF(A117="","",ROUND(L117*I117,2))</f>
        <v/>
      </c>
      <c r="N117" s="13">
        <f>IF(A117="","",ROUND(L117*J117,2))</f>
        <v/>
      </c>
      <c r="O117" s="15" t="n"/>
      <c r="P117" s="12">
        <f>IF(A117="","",IF(COUNTIF($A$2:$A$501,A117)&gt;1,"Duplicate lot ID",IF(OR(B117="",H117="",I117="",J117=""),"Complete required fields",IF(L117&lt;0,"OVER SOLD","OK"))))</f>
        <v/>
      </c>
    </row>
    <row r="118" ht="23" customHeight="1">
      <c r="A118" s="9" t="n"/>
      <c r="B118" s="10" t="n"/>
      <c r="C118" s="10" t="n"/>
      <c r="D118" s="10" t="n"/>
      <c r="E118" s="10" t="n"/>
      <c r="F118" s="9" t="n"/>
      <c r="G118" s="10" t="n"/>
      <c r="H118" s="10" t="n"/>
      <c r="I118" s="11" t="n"/>
      <c r="J118" s="11" t="n"/>
      <c r="K118" s="12">
        <f>IF(A118="","",SUMIF(Sales!$C$2:$C$501,A118,Sales!$E$2:$E$501))</f>
        <v/>
      </c>
      <c r="L118" s="12">
        <f>IF(A118="","",H118-K118)</f>
        <v/>
      </c>
      <c r="M118" s="13">
        <f>IF(A118="","",ROUND(L118*I118,2))</f>
        <v/>
      </c>
      <c r="N118" s="13">
        <f>IF(A118="","",ROUND(L118*J118,2))</f>
        <v/>
      </c>
      <c r="O118" s="10" t="n"/>
      <c r="P118" s="12">
        <f>IF(A118="","",IF(COUNTIF($A$2:$A$501,A118)&gt;1,"Duplicate lot ID",IF(OR(B118="",H118="",I118="",J118=""),"Complete required fields",IF(L118&lt;0,"OVER SOLD","OK"))))</f>
        <v/>
      </c>
    </row>
    <row r="119" ht="23" customHeight="1">
      <c r="A119" s="14" t="n"/>
      <c r="B119" s="15" t="n"/>
      <c r="C119" s="15" t="n"/>
      <c r="D119" s="15" t="n"/>
      <c r="E119" s="15" t="n"/>
      <c r="F119" s="14" t="n"/>
      <c r="G119" s="15" t="n"/>
      <c r="H119" s="15" t="n"/>
      <c r="I119" s="16" t="n"/>
      <c r="J119" s="16" t="n"/>
      <c r="K119" s="12">
        <f>IF(A119="","",SUMIF(Sales!$C$2:$C$501,A119,Sales!$E$2:$E$501))</f>
        <v/>
      </c>
      <c r="L119" s="12">
        <f>IF(A119="","",H119-K119)</f>
        <v/>
      </c>
      <c r="M119" s="13">
        <f>IF(A119="","",ROUND(L119*I119,2))</f>
        <v/>
      </c>
      <c r="N119" s="13">
        <f>IF(A119="","",ROUND(L119*J119,2))</f>
        <v/>
      </c>
      <c r="O119" s="15" t="n"/>
      <c r="P119" s="12">
        <f>IF(A119="","",IF(COUNTIF($A$2:$A$501,A119)&gt;1,"Duplicate lot ID",IF(OR(B119="",H119="",I119="",J119=""),"Complete required fields",IF(L119&lt;0,"OVER SOLD","OK"))))</f>
        <v/>
      </c>
    </row>
    <row r="120" ht="23" customHeight="1">
      <c r="A120" s="9" t="n"/>
      <c r="B120" s="10" t="n"/>
      <c r="C120" s="10" t="n"/>
      <c r="D120" s="10" t="n"/>
      <c r="E120" s="10" t="n"/>
      <c r="F120" s="9" t="n"/>
      <c r="G120" s="10" t="n"/>
      <c r="H120" s="10" t="n"/>
      <c r="I120" s="11" t="n"/>
      <c r="J120" s="11" t="n"/>
      <c r="K120" s="12">
        <f>IF(A120="","",SUMIF(Sales!$C$2:$C$501,A120,Sales!$E$2:$E$501))</f>
        <v/>
      </c>
      <c r="L120" s="12">
        <f>IF(A120="","",H120-K120)</f>
        <v/>
      </c>
      <c r="M120" s="13">
        <f>IF(A120="","",ROUND(L120*I120,2))</f>
        <v/>
      </c>
      <c r="N120" s="13">
        <f>IF(A120="","",ROUND(L120*J120,2))</f>
        <v/>
      </c>
      <c r="O120" s="10" t="n"/>
      <c r="P120" s="12">
        <f>IF(A120="","",IF(COUNTIF($A$2:$A$501,A120)&gt;1,"Duplicate lot ID",IF(OR(B120="",H120="",I120="",J120=""),"Complete required fields",IF(L120&lt;0,"OVER SOLD","OK"))))</f>
        <v/>
      </c>
    </row>
    <row r="121" ht="23" customHeight="1">
      <c r="A121" s="14" t="n"/>
      <c r="B121" s="15" t="n"/>
      <c r="C121" s="15" t="n"/>
      <c r="D121" s="15" t="n"/>
      <c r="E121" s="15" t="n"/>
      <c r="F121" s="14" t="n"/>
      <c r="G121" s="15" t="n"/>
      <c r="H121" s="15" t="n"/>
      <c r="I121" s="16" t="n"/>
      <c r="J121" s="16" t="n"/>
      <c r="K121" s="12">
        <f>IF(A121="","",SUMIF(Sales!$C$2:$C$501,A121,Sales!$E$2:$E$501))</f>
        <v/>
      </c>
      <c r="L121" s="12">
        <f>IF(A121="","",H121-K121)</f>
        <v/>
      </c>
      <c r="M121" s="13">
        <f>IF(A121="","",ROUND(L121*I121,2))</f>
        <v/>
      </c>
      <c r="N121" s="13">
        <f>IF(A121="","",ROUND(L121*J121,2))</f>
        <v/>
      </c>
      <c r="O121" s="15" t="n"/>
      <c r="P121" s="12">
        <f>IF(A121="","",IF(COUNTIF($A$2:$A$501,A121)&gt;1,"Duplicate lot ID",IF(OR(B121="",H121="",I121="",J121=""),"Complete required fields",IF(L121&lt;0,"OVER SOLD","OK"))))</f>
        <v/>
      </c>
    </row>
    <row r="122" ht="23" customHeight="1">
      <c r="A122" s="9" t="n"/>
      <c r="B122" s="10" t="n"/>
      <c r="C122" s="10" t="n"/>
      <c r="D122" s="10" t="n"/>
      <c r="E122" s="10" t="n"/>
      <c r="F122" s="9" t="n"/>
      <c r="G122" s="10" t="n"/>
      <c r="H122" s="10" t="n"/>
      <c r="I122" s="11" t="n"/>
      <c r="J122" s="11" t="n"/>
      <c r="K122" s="12">
        <f>IF(A122="","",SUMIF(Sales!$C$2:$C$501,A122,Sales!$E$2:$E$501))</f>
        <v/>
      </c>
      <c r="L122" s="12">
        <f>IF(A122="","",H122-K122)</f>
        <v/>
      </c>
      <c r="M122" s="13">
        <f>IF(A122="","",ROUND(L122*I122,2))</f>
        <v/>
      </c>
      <c r="N122" s="13">
        <f>IF(A122="","",ROUND(L122*J122,2))</f>
        <v/>
      </c>
      <c r="O122" s="10" t="n"/>
      <c r="P122" s="12">
        <f>IF(A122="","",IF(COUNTIF($A$2:$A$501,A122)&gt;1,"Duplicate lot ID",IF(OR(B122="",H122="",I122="",J122=""),"Complete required fields",IF(L122&lt;0,"OVER SOLD","OK"))))</f>
        <v/>
      </c>
    </row>
    <row r="123" ht="23" customHeight="1">
      <c r="A123" s="14" t="n"/>
      <c r="B123" s="15" t="n"/>
      <c r="C123" s="15" t="n"/>
      <c r="D123" s="15" t="n"/>
      <c r="E123" s="15" t="n"/>
      <c r="F123" s="14" t="n"/>
      <c r="G123" s="15" t="n"/>
      <c r="H123" s="15" t="n"/>
      <c r="I123" s="16" t="n"/>
      <c r="J123" s="16" t="n"/>
      <c r="K123" s="12">
        <f>IF(A123="","",SUMIF(Sales!$C$2:$C$501,A123,Sales!$E$2:$E$501))</f>
        <v/>
      </c>
      <c r="L123" s="12">
        <f>IF(A123="","",H123-K123)</f>
        <v/>
      </c>
      <c r="M123" s="13">
        <f>IF(A123="","",ROUND(L123*I123,2))</f>
        <v/>
      </c>
      <c r="N123" s="13">
        <f>IF(A123="","",ROUND(L123*J123,2))</f>
        <v/>
      </c>
      <c r="O123" s="15" t="n"/>
      <c r="P123" s="12">
        <f>IF(A123="","",IF(COUNTIF($A$2:$A$501,A123)&gt;1,"Duplicate lot ID",IF(OR(B123="",H123="",I123="",J123=""),"Complete required fields",IF(L123&lt;0,"OVER SOLD","OK"))))</f>
        <v/>
      </c>
    </row>
    <row r="124" ht="23" customHeight="1">
      <c r="A124" s="9" t="n"/>
      <c r="B124" s="10" t="n"/>
      <c r="C124" s="10" t="n"/>
      <c r="D124" s="10" t="n"/>
      <c r="E124" s="10" t="n"/>
      <c r="F124" s="9" t="n"/>
      <c r="G124" s="10" t="n"/>
      <c r="H124" s="10" t="n"/>
      <c r="I124" s="11" t="n"/>
      <c r="J124" s="11" t="n"/>
      <c r="K124" s="12">
        <f>IF(A124="","",SUMIF(Sales!$C$2:$C$501,A124,Sales!$E$2:$E$501))</f>
        <v/>
      </c>
      <c r="L124" s="12">
        <f>IF(A124="","",H124-K124)</f>
        <v/>
      </c>
      <c r="M124" s="13">
        <f>IF(A124="","",ROUND(L124*I124,2))</f>
        <v/>
      </c>
      <c r="N124" s="13">
        <f>IF(A124="","",ROUND(L124*J124,2))</f>
        <v/>
      </c>
      <c r="O124" s="10" t="n"/>
      <c r="P124" s="12">
        <f>IF(A124="","",IF(COUNTIF($A$2:$A$501,A124)&gt;1,"Duplicate lot ID",IF(OR(B124="",H124="",I124="",J124=""),"Complete required fields",IF(L124&lt;0,"OVER SOLD","OK"))))</f>
        <v/>
      </c>
    </row>
    <row r="125" ht="23" customHeight="1">
      <c r="A125" s="14" t="n"/>
      <c r="B125" s="15" t="n"/>
      <c r="C125" s="15" t="n"/>
      <c r="D125" s="15" t="n"/>
      <c r="E125" s="15" t="n"/>
      <c r="F125" s="14" t="n"/>
      <c r="G125" s="15" t="n"/>
      <c r="H125" s="15" t="n"/>
      <c r="I125" s="16" t="n"/>
      <c r="J125" s="16" t="n"/>
      <c r="K125" s="12">
        <f>IF(A125="","",SUMIF(Sales!$C$2:$C$501,A125,Sales!$E$2:$E$501))</f>
        <v/>
      </c>
      <c r="L125" s="12">
        <f>IF(A125="","",H125-K125)</f>
        <v/>
      </c>
      <c r="M125" s="13">
        <f>IF(A125="","",ROUND(L125*I125,2))</f>
        <v/>
      </c>
      <c r="N125" s="13">
        <f>IF(A125="","",ROUND(L125*J125,2))</f>
        <v/>
      </c>
      <c r="O125" s="15" t="n"/>
      <c r="P125" s="12">
        <f>IF(A125="","",IF(COUNTIF($A$2:$A$501,A125)&gt;1,"Duplicate lot ID",IF(OR(B125="",H125="",I125="",J125=""),"Complete required fields",IF(L125&lt;0,"OVER SOLD","OK"))))</f>
        <v/>
      </c>
    </row>
    <row r="126" ht="23" customHeight="1">
      <c r="A126" s="9" t="n"/>
      <c r="B126" s="10" t="n"/>
      <c r="C126" s="10" t="n"/>
      <c r="D126" s="10" t="n"/>
      <c r="E126" s="10" t="n"/>
      <c r="F126" s="9" t="n"/>
      <c r="G126" s="10" t="n"/>
      <c r="H126" s="10" t="n"/>
      <c r="I126" s="11" t="n"/>
      <c r="J126" s="11" t="n"/>
      <c r="K126" s="12">
        <f>IF(A126="","",SUMIF(Sales!$C$2:$C$501,A126,Sales!$E$2:$E$501))</f>
        <v/>
      </c>
      <c r="L126" s="12">
        <f>IF(A126="","",H126-K126)</f>
        <v/>
      </c>
      <c r="M126" s="13">
        <f>IF(A126="","",ROUND(L126*I126,2))</f>
        <v/>
      </c>
      <c r="N126" s="13">
        <f>IF(A126="","",ROUND(L126*J126,2))</f>
        <v/>
      </c>
      <c r="O126" s="10" t="n"/>
      <c r="P126" s="12">
        <f>IF(A126="","",IF(COUNTIF($A$2:$A$501,A126)&gt;1,"Duplicate lot ID",IF(OR(B126="",H126="",I126="",J126=""),"Complete required fields",IF(L126&lt;0,"OVER SOLD","OK"))))</f>
        <v/>
      </c>
    </row>
    <row r="127" ht="23" customHeight="1">
      <c r="A127" s="14" t="n"/>
      <c r="B127" s="15" t="n"/>
      <c r="C127" s="15" t="n"/>
      <c r="D127" s="15" t="n"/>
      <c r="E127" s="15" t="n"/>
      <c r="F127" s="14" t="n"/>
      <c r="G127" s="15" t="n"/>
      <c r="H127" s="15" t="n"/>
      <c r="I127" s="16" t="n"/>
      <c r="J127" s="16" t="n"/>
      <c r="K127" s="12">
        <f>IF(A127="","",SUMIF(Sales!$C$2:$C$501,A127,Sales!$E$2:$E$501))</f>
        <v/>
      </c>
      <c r="L127" s="12">
        <f>IF(A127="","",H127-K127)</f>
        <v/>
      </c>
      <c r="M127" s="13">
        <f>IF(A127="","",ROUND(L127*I127,2))</f>
        <v/>
      </c>
      <c r="N127" s="13">
        <f>IF(A127="","",ROUND(L127*J127,2))</f>
        <v/>
      </c>
      <c r="O127" s="15" t="n"/>
      <c r="P127" s="12">
        <f>IF(A127="","",IF(COUNTIF($A$2:$A$501,A127)&gt;1,"Duplicate lot ID",IF(OR(B127="",H127="",I127="",J127=""),"Complete required fields",IF(L127&lt;0,"OVER SOLD","OK"))))</f>
        <v/>
      </c>
    </row>
    <row r="128" ht="23" customHeight="1">
      <c r="A128" s="9" t="n"/>
      <c r="B128" s="10" t="n"/>
      <c r="C128" s="10" t="n"/>
      <c r="D128" s="10" t="n"/>
      <c r="E128" s="10" t="n"/>
      <c r="F128" s="9" t="n"/>
      <c r="G128" s="10" t="n"/>
      <c r="H128" s="10" t="n"/>
      <c r="I128" s="11" t="n"/>
      <c r="J128" s="11" t="n"/>
      <c r="K128" s="12">
        <f>IF(A128="","",SUMIF(Sales!$C$2:$C$501,A128,Sales!$E$2:$E$501))</f>
        <v/>
      </c>
      <c r="L128" s="12">
        <f>IF(A128="","",H128-K128)</f>
        <v/>
      </c>
      <c r="M128" s="13">
        <f>IF(A128="","",ROUND(L128*I128,2))</f>
        <v/>
      </c>
      <c r="N128" s="13">
        <f>IF(A128="","",ROUND(L128*J128,2))</f>
        <v/>
      </c>
      <c r="O128" s="10" t="n"/>
      <c r="P128" s="12">
        <f>IF(A128="","",IF(COUNTIF($A$2:$A$501,A128)&gt;1,"Duplicate lot ID",IF(OR(B128="",H128="",I128="",J128=""),"Complete required fields",IF(L128&lt;0,"OVER SOLD","OK"))))</f>
        <v/>
      </c>
    </row>
    <row r="129" ht="23" customHeight="1">
      <c r="A129" s="14" t="n"/>
      <c r="B129" s="15" t="n"/>
      <c r="C129" s="15" t="n"/>
      <c r="D129" s="15" t="n"/>
      <c r="E129" s="15" t="n"/>
      <c r="F129" s="14" t="n"/>
      <c r="G129" s="15" t="n"/>
      <c r="H129" s="15" t="n"/>
      <c r="I129" s="16" t="n"/>
      <c r="J129" s="16" t="n"/>
      <c r="K129" s="12">
        <f>IF(A129="","",SUMIF(Sales!$C$2:$C$501,A129,Sales!$E$2:$E$501))</f>
        <v/>
      </c>
      <c r="L129" s="12">
        <f>IF(A129="","",H129-K129)</f>
        <v/>
      </c>
      <c r="M129" s="13">
        <f>IF(A129="","",ROUND(L129*I129,2))</f>
        <v/>
      </c>
      <c r="N129" s="13">
        <f>IF(A129="","",ROUND(L129*J129,2))</f>
        <v/>
      </c>
      <c r="O129" s="15" t="n"/>
      <c r="P129" s="12">
        <f>IF(A129="","",IF(COUNTIF($A$2:$A$501,A129)&gt;1,"Duplicate lot ID",IF(OR(B129="",H129="",I129="",J129=""),"Complete required fields",IF(L129&lt;0,"OVER SOLD","OK"))))</f>
        <v/>
      </c>
    </row>
    <row r="130" ht="23" customHeight="1">
      <c r="A130" s="9" t="n"/>
      <c r="B130" s="10" t="n"/>
      <c r="C130" s="10" t="n"/>
      <c r="D130" s="10" t="n"/>
      <c r="E130" s="10" t="n"/>
      <c r="F130" s="9" t="n"/>
      <c r="G130" s="10" t="n"/>
      <c r="H130" s="10" t="n"/>
      <c r="I130" s="11" t="n"/>
      <c r="J130" s="11" t="n"/>
      <c r="K130" s="12">
        <f>IF(A130="","",SUMIF(Sales!$C$2:$C$501,A130,Sales!$E$2:$E$501))</f>
        <v/>
      </c>
      <c r="L130" s="12">
        <f>IF(A130="","",H130-K130)</f>
        <v/>
      </c>
      <c r="M130" s="13">
        <f>IF(A130="","",ROUND(L130*I130,2))</f>
        <v/>
      </c>
      <c r="N130" s="13">
        <f>IF(A130="","",ROUND(L130*J130,2))</f>
        <v/>
      </c>
      <c r="O130" s="10" t="n"/>
      <c r="P130" s="12">
        <f>IF(A130="","",IF(COUNTIF($A$2:$A$501,A130)&gt;1,"Duplicate lot ID",IF(OR(B130="",H130="",I130="",J130=""),"Complete required fields",IF(L130&lt;0,"OVER SOLD","OK"))))</f>
        <v/>
      </c>
    </row>
    <row r="131" ht="23" customHeight="1">
      <c r="A131" s="14" t="n"/>
      <c r="B131" s="15" t="n"/>
      <c r="C131" s="15" t="n"/>
      <c r="D131" s="15" t="n"/>
      <c r="E131" s="15" t="n"/>
      <c r="F131" s="14" t="n"/>
      <c r="G131" s="15" t="n"/>
      <c r="H131" s="15" t="n"/>
      <c r="I131" s="16" t="n"/>
      <c r="J131" s="16" t="n"/>
      <c r="K131" s="12">
        <f>IF(A131="","",SUMIF(Sales!$C$2:$C$501,A131,Sales!$E$2:$E$501))</f>
        <v/>
      </c>
      <c r="L131" s="12">
        <f>IF(A131="","",H131-K131)</f>
        <v/>
      </c>
      <c r="M131" s="13">
        <f>IF(A131="","",ROUND(L131*I131,2))</f>
        <v/>
      </c>
      <c r="N131" s="13">
        <f>IF(A131="","",ROUND(L131*J131,2))</f>
        <v/>
      </c>
      <c r="O131" s="15" t="n"/>
      <c r="P131" s="12">
        <f>IF(A131="","",IF(COUNTIF($A$2:$A$501,A131)&gt;1,"Duplicate lot ID",IF(OR(B131="",H131="",I131="",J131=""),"Complete required fields",IF(L131&lt;0,"OVER SOLD","OK"))))</f>
        <v/>
      </c>
    </row>
    <row r="132" ht="23" customHeight="1">
      <c r="A132" s="9" t="n"/>
      <c r="B132" s="10" t="n"/>
      <c r="C132" s="10" t="n"/>
      <c r="D132" s="10" t="n"/>
      <c r="E132" s="10" t="n"/>
      <c r="F132" s="9" t="n"/>
      <c r="G132" s="10" t="n"/>
      <c r="H132" s="10" t="n"/>
      <c r="I132" s="11" t="n"/>
      <c r="J132" s="11" t="n"/>
      <c r="K132" s="12">
        <f>IF(A132="","",SUMIF(Sales!$C$2:$C$501,A132,Sales!$E$2:$E$501))</f>
        <v/>
      </c>
      <c r="L132" s="12">
        <f>IF(A132="","",H132-K132)</f>
        <v/>
      </c>
      <c r="M132" s="13">
        <f>IF(A132="","",ROUND(L132*I132,2))</f>
        <v/>
      </c>
      <c r="N132" s="13">
        <f>IF(A132="","",ROUND(L132*J132,2))</f>
        <v/>
      </c>
      <c r="O132" s="10" t="n"/>
      <c r="P132" s="12">
        <f>IF(A132="","",IF(COUNTIF($A$2:$A$501,A132)&gt;1,"Duplicate lot ID",IF(OR(B132="",H132="",I132="",J132=""),"Complete required fields",IF(L132&lt;0,"OVER SOLD","OK"))))</f>
        <v/>
      </c>
    </row>
    <row r="133" ht="23" customHeight="1">
      <c r="A133" s="14" t="n"/>
      <c r="B133" s="15" t="n"/>
      <c r="C133" s="15" t="n"/>
      <c r="D133" s="15" t="n"/>
      <c r="E133" s="15" t="n"/>
      <c r="F133" s="14" t="n"/>
      <c r="G133" s="15" t="n"/>
      <c r="H133" s="15" t="n"/>
      <c r="I133" s="16" t="n"/>
      <c r="J133" s="16" t="n"/>
      <c r="K133" s="12">
        <f>IF(A133="","",SUMIF(Sales!$C$2:$C$501,A133,Sales!$E$2:$E$501))</f>
        <v/>
      </c>
      <c r="L133" s="12">
        <f>IF(A133="","",H133-K133)</f>
        <v/>
      </c>
      <c r="M133" s="13">
        <f>IF(A133="","",ROUND(L133*I133,2))</f>
        <v/>
      </c>
      <c r="N133" s="13">
        <f>IF(A133="","",ROUND(L133*J133,2))</f>
        <v/>
      </c>
      <c r="O133" s="15" t="n"/>
      <c r="P133" s="12">
        <f>IF(A133="","",IF(COUNTIF($A$2:$A$501,A133)&gt;1,"Duplicate lot ID",IF(OR(B133="",H133="",I133="",J133=""),"Complete required fields",IF(L133&lt;0,"OVER SOLD","OK"))))</f>
        <v/>
      </c>
    </row>
    <row r="134" ht="23" customHeight="1">
      <c r="A134" s="9" t="n"/>
      <c r="B134" s="10" t="n"/>
      <c r="C134" s="10" t="n"/>
      <c r="D134" s="10" t="n"/>
      <c r="E134" s="10" t="n"/>
      <c r="F134" s="9" t="n"/>
      <c r="G134" s="10" t="n"/>
      <c r="H134" s="10" t="n"/>
      <c r="I134" s="11" t="n"/>
      <c r="J134" s="11" t="n"/>
      <c r="K134" s="12">
        <f>IF(A134="","",SUMIF(Sales!$C$2:$C$501,A134,Sales!$E$2:$E$501))</f>
        <v/>
      </c>
      <c r="L134" s="12">
        <f>IF(A134="","",H134-K134)</f>
        <v/>
      </c>
      <c r="M134" s="13">
        <f>IF(A134="","",ROUND(L134*I134,2))</f>
        <v/>
      </c>
      <c r="N134" s="13">
        <f>IF(A134="","",ROUND(L134*J134,2))</f>
        <v/>
      </c>
      <c r="O134" s="10" t="n"/>
      <c r="P134" s="12">
        <f>IF(A134="","",IF(COUNTIF($A$2:$A$501,A134)&gt;1,"Duplicate lot ID",IF(OR(B134="",H134="",I134="",J134=""),"Complete required fields",IF(L134&lt;0,"OVER SOLD","OK"))))</f>
        <v/>
      </c>
    </row>
    <row r="135" ht="23" customHeight="1">
      <c r="A135" s="14" t="n"/>
      <c r="B135" s="15" t="n"/>
      <c r="C135" s="15" t="n"/>
      <c r="D135" s="15" t="n"/>
      <c r="E135" s="15" t="n"/>
      <c r="F135" s="14" t="n"/>
      <c r="G135" s="15" t="n"/>
      <c r="H135" s="15" t="n"/>
      <c r="I135" s="16" t="n"/>
      <c r="J135" s="16" t="n"/>
      <c r="K135" s="12">
        <f>IF(A135="","",SUMIF(Sales!$C$2:$C$501,A135,Sales!$E$2:$E$501))</f>
        <v/>
      </c>
      <c r="L135" s="12">
        <f>IF(A135="","",H135-K135)</f>
        <v/>
      </c>
      <c r="M135" s="13">
        <f>IF(A135="","",ROUND(L135*I135,2))</f>
        <v/>
      </c>
      <c r="N135" s="13">
        <f>IF(A135="","",ROUND(L135*J135,2))</f>
        <v/>
      </c>
      <c r="O135" s="15" t="n"/>
      <c r="P135" s="12">
        <f>IF(A135="","",IF(COUNTIF($A$2:$A$501,A135)&gt;1,"Duplicate lot ID",IF(OR(B135="",H135="",I135="",J135=""),"Complete required fields",IF(L135&lt;0,"OVER SOLD","OK"))))</f>
        <v/>
      </c>
    </row>
    <row r="136" ht="23" customHeight="1">
      <c r="A136" s="9" t="n"/>
      <c r="B136" s="10" t="n"/>
      <c r="C136" s="10" t="n"/>
      <c r="D136" s="10" t="n"/>
      <c r="E136" s="10" t="n"/>
      <c r="F136" s="9" t="n"/>
      <c r="G136" s="10" t="n"/>
      <c r="H136" s="10" t="n"/>
      <c r="I136" s="11" t="n"/>
      <c r="J136" s="11" t="n"/>
      <c r="K136" s="12">
        <f>IF(A136="","",SUMIF(Sales!$C$2:$C$501,A136,Sales!$E$2:$E$501))</f>
        <v/>
      </c>
      <c r="L136" s="12">
        <f>IF(A136="","",H136-K136)</f>
        <v/>
      </c>
      <c r="M136" s="13">
        <f>IF(A136="","",ROUND(L136*I136,2))</f>
        <v/>
      </c>
      <c r="N136" s="13">
        <f>IF(A136="","",ROUND(L136*J136,2))</f>
        <v/>
      </c>
      <c r="O136" s="10" t="n"/>
      <c r="P136" s="12">
        <f>IF(A136="","",IF(COUNTIF($A$2:$A$501,A136)&gt;1,"Duplicate lot ID",IF(OR(B136="",H136="",I136="",J136=""),"Complete required fields",IF(L136&lt;0,"OVER SOLD","OK"))))</f>
        <v/>
      </c>
    </row>
    <row r="137" ht="23" customHeight="1">
      <c r="A137" s="14" t="n"/>
      <c r="B137" s="15" t="n"/>
      <c r="C137" s="15" t="n"/>
      <c r="D137" s="15" t="n"/>
      <c r="E137" s="15" t="n"/>
      <c r="F137" s="14" t="n"/>
      <c r="G137" s="15" t="n"/>
      <c r="H137" s="15" t="n"/>
      <c r="I137" s="16" t="n"/>
      <c r="J137" s="16" t="n"/>
      <c r="K137" s="12">
        <f>IF(A137="","",SUMIF(Sales!$C$2:$C$501,A137,Sales!$E$2:$E$501))</f>
        <v/>
      </c>
      <c r="L137" s="12">
        <f>IF(A137="","",H137-K137)</f>
        <v/>
      </c>
      <c r="M137" s="13">
        <f>IF(A137="","",ROUND(L137*I137,2))</f>
        <v/>
      </c>
      <c r="N137" s="13">
        <f>IF(A137="","",ROUND(L137*J137,2))</f>
        <v/>
      </c>
      <c r="O137" s="15" t="n"/>
      <c r="P137" s="12">
        <f>IF(A137="","",IF(COUNTIF($A$2:$A$501,A137)&gt;1,"Duplicate lot ID",IF(OR(B137="",H137="",I137="",J137=""),"Complete required fields",IF(L137&lt;0,"OVER SOLD","OK"))))</f>
        <v/>
      </c>
    </row>
    <row r="138" ht="23" customHeight="1">
      <c r="A138" s="9" t="n"/>
      <c r="B138" s="10" t="n"/>
      <c r="C138" s="10" t="n"/>
      <c r="D138" s="10" t="n"/>
      <c r="E138" s="10" t="n"/>
      <c r="F138" s="9" t="n"/>
      <c r="G138" s="10" t="n"/>
      <c r="H138" s="10" t="n"/>
      <c r="I138" s="11" t="n"/>
      <c r="J138" s="11" t="n"/>
      <c r="K138" s="12">
        <f>IF(A138="","",SUMIF(Sales!$C$2:$C$501,A138,Sales!$E$2:$E$501))</f>
        <v/>
      </c>
      <c r="L138" s="12">
        <f>IF(A138="","",H138-K138)</f>
        <v/>
      </c>
      <c r="M138" s="13">
        <f>IF(A138="","",ROUND(L138*I138,2))</f>
        <v/>
      </c>
      <c r="N138" s="13">
        <f>IF(A138="","",ROUND(L138*J138,2))</f>
        <v/>
      </c>
      <c r="O138" s="10" t="n"/>
      <c r="P138" s="12">
        <f>IF(A138="","",IF(COUNTIF($A$2:$A$501,A138)&gt;1,"Duplicate lot ID",IF(OR(B138="",H138="",I138="",J138=""),"Complete required fields",IF(L138&lt;0,"OVER SOLD","OK"))))</f>
        <v/>
      </c>
    </row>
    <row r="139" ht="23" customHeight="1">
      <c r="A139" s="14" t="n"/>
      <c r="B139" s="15" t="n"/>
      <c r="C139" s="15" t="n"/>
      <c r="D139" s="15" t="n"/>
      <c r="E139" s="15" t="n"/>
      <c r="F139" s="14" t="n"/>
      <c r="G139" s="15" t="n"/>
      <c r="H139" s="15" t="n"/>
      <c r="I139" s="16" t="n"/>
      <c r="J139" s="16" t="n"/>
      <c r="K139" s="12">
        <f>IF(A139="","",SUMIF(Sales!$C$2:$C$501,A139,Sales!$E$2:$E$501))</f>
        <v/>
      </c>
      <c r="L139" s="12">
        <f>IF(A139="","",H139-K139)</f>
        <v/>
      </c>
      <c r="M139" s="13">
        <f>IF(A139="","",ROUND(L139*I139,2))</f>
        <v/>
      </c>
      <c r="N139" s="13">
        <f>IF(A139="","",ROUND(L139*J139,2))</f>
        <v/>
      </c>
      <c r="O139" s="15" t="n"/>
      <c r="P139" s="12">
        <f>IF(A139="","",IF(COUNTIF($A$2:$A$501,A139)&gt;1,"Duplicate lot ID",IF(OR(B139="",H139="",I139="",J139=""),"Complete required fields",IF(L139&lt;0,"OVER SOLD","OK"))))</f>
        <v/>
      </c>
    </row>
    <row r="140" ht="23" customHeight="1">
      <c r="A140" s="9" t="n"/>
      <c r="B140" s="10" t="n"/>
      <c r="C140" s="10" t="n"/>
      <c r="D140" s="10" t="n"/>
      <c r="E140" s="10" t="n"/>
      <c r="F140" s="9" t="n"/>
      <c r="G140" s="10" t="n"/>
      <c r="H140" s="10" t="n"/>
      <c r="I140" s="11" t="n"/>
      <c r="J140" s="11" t="n"/>
      <c r="K140" s="12">
        <f>IF(A140="","",SUMIF(Sales!$C$2:$C$501,A140,Sales!$E$2:$E$501))</f>
        <v/>
      </c>
      <c r="L140" s="12">
        <f>IF(A140="","",H140-K140)</f>
        <v/>
      </c>
      <c r="M140" s="13">
        <f>IF(A140="","",ROUND(L140*I140,2))</f>
        <v/>
      </c>
      <c r="N140" s="13">
        <f>IF(A140="","",ROUND(L140*J140,2))</f>
        <v/>
      </c>
      <c r="O140" s="10" t="n"/>
      <c r="P140" s="12">
        <f>IF(A140="","",IF(COUNTIF($A$2:$A$501,A140)&gt;1,"Duplicate lot ID",IF(OR(B140="",H140="",I140="",J140=""),"Complete required fields",IF(L140&lt;0,"OVER SOLD","OK"))))</f>
        <v/>
      </c>
    </row>
    <row r="141" ht="23" customHeight="1">
      <c r="A141" s="14" t="n"/>
      <c r="B141" s="15" t="n"/>
      <c r="C141" s="15" t="n"/>
      <c r="D141" s="15" t="n"/>
      <c r="E141" s="15" t="n"/>
      <c r="F141" s="14" t="n"/>
      <c r="G141" s="15" t="n"/>
      <c r="H141" s="15" t="n"/>
      <c r="I141" s="16" t="n"/>
      <c r="J141" s="16" t="n"/>
      <c r="K141" s="12">
        <f>IF(A141="","",SUMIF(Sales!$C$2:$C$501,A141,Sales!$E$2:$E$501))</f>
        <v/>
      </c>
      <c r="L141" s="12">
        <f>IF(A141="","",H141-K141)</f>
        <v/>
      </c>
      <c r="M141" s="13">
        <f>IF(A141="","",ROUND(L141*I141,2))</f>
        <v/>
      </c>
      <c r="N141" s="13">
        <f>IF(A141="","",ROUND(L141*J141,2))</f>
        <v/>
      </c>
      <c r="O141" s="15" t="n"/>
      <c r="P141" s="12">
        <f>IF(A141="","",IF(COUNTIF($A$2:$A$501,A141)&gt;1,"Duplicate lot ID",IF(OR(B141="",H141="",I141="",J141=""),"Complete required fields",IF(L141&lt;0,"OVER SOLD","OK"))))</f>
        <v/>
      </c>
    </row>
    <row r="142" ht="23" customHeight="1">
      <c r="A142" s="9" t="n"/>
      <c r="B142" s="10" t="n"/>
      <c r="C142" s="10" t="n"/>
      <c r="D142" s="10" t="n"/>
      <c r="E142" s="10" t="n"/>
      <c r="F142" s="9" t="n"/>
      <c r="G142" s="10" t="n"/>
      <c r="H142" s="10" t="n"/>
      <c r="I142" s="11" t="n"/>
      <c r="J142" s="11" t="n"/>
      <c r="K142" s="12">
        <f>IF(A142="","",SUMIF(Sales!$C$2:$C$501,A142,Sales!$E$2:$E$501))</f>
        <v/>
      </c>
      <c r="L142" s="12">
        <f>IF(A142="","",H142-K142)</f>
        <v/>
      </c>
      <c r="M142" s="13">
        <f>IF(A142="","",ROUND(L142*I142,2))</f>
        <v/>
      </c>
      <c r="N142" s="13">
        <f>IF(A142="","",ROUND(L142*J142,2))</f>
        <v/>
      </c>
      <c r="O142" s="10" t="n"/>
      <c r="P142" s="12">
        <f>IF(A142="","",IF(COUNTIF($A$2:$A$501,A142)&gt;1,"Duplicate lot ID",IF(OR(B142="",H142="",I142="",J142=""),"Complete required fields",IF(L142&lt;0,"OVER SOLD","OK"))))</f>
        <v/>
      </c>
    </row>
    <row r="143" ht="23" customHeight="1">
      <c r="A143" s="14" t="n"/>
      <c r="B143" s="15" t="n"/>
      <c r="C143" s="15" t="n"/>
      <c r="D143" s="15" t="n"/>
      <c r="E143" s="15" t="n"/>
      <c r="F143" s="14" t="n"/>
      <c r="G143" s="15" t="n"/>
      <c r="H143" s="15" t="n"/>
      <c r="I143" s="16" t="n"/>
      <c r="J143" s="16" t="n"/>
      <c r="K143" s="12">
        <f>IF(A143="","",SUMIF(Sales!$C$2:$C$501,A143,Sales!$E$2:$E$501))</f>
        <v/>
      </c>
      <c r="L143" s="12">
        <f>IF(A143="","",H143-K143)</f>
        <v/>
      </c>
      <c r="M143" s="13">
        <f>IF(A143="","",ROUND(L143*I143,2))</f>
        <v/>
      </c>
      <c r="N143" s="13">
        <f>IF(A143="","",ROUND(L143*J143,2))</f>
        <v/>
      </c>
      <c r="O143" s="15" t="n"/>
      <c r="P143" s="12">
        <f>IF(A143="","",IF(COUNTIF($A$2:$A$501,A143)&gt;1,"Duplicate lot ID",IF(OR(B143="",H143="",I143="",J143=""),"Complete required fields",IF(L143&lt;0,"OVER SOLD","OK"))))</f>
        <v/>
      </c>
    </row>
    <row r="144" ht="23" customHeight="1">
      <c r="A144" s="9" t="n"/>
      <c r="B144" s="10" t="n"/>
      <c r="C144" s="10" t="n"/>
      <c r="D144" s="10" t="n"/>
      <c r="E144" s="10" t="n"/>
      <c r="F144" s="9" t="n"/>
      <c r="G144" s="10" t="n"/>
      <c r="H144" s="10" t="n"/>
      <c r="I144" s="11" t="n"/>
      <c r="J144" s="11" t="n"/>
      <c r="K144" s="12">
        <f>IF(A144="","",SUMIF(Sales!$C$2:$C$501,A144,Sales!$E$2:$E$501))</f>
        <v/>
      </c>
      <c r="L144" s="12">
        <f>IF(A144="","",H144-K144)</f>
        <v/>
      </c>
      <c r="M144" s="13">
        <f>IF(A144="","",ROUND(L144*I144,2))</f>
        <v/>
      </c>
      <c r="N144" s="13">
        <f>IF(A144="","",ROUND(L144*J144,2))</f>
        <v/>
      </c>
      <c r="O144" s="10" t="n"/>
      <c r="P144" s="12">
        <f>IF(A144="","",IF(COUNTIF($A$2:$A$501,A144)&gt;1,"Duplicate lot ID",IF(OR(B144="",H144="",I144="",J144=""),"Complete required fields",IF(L144&lt;0,"OVER SOLD","OK"))))</f>
        <v/>
      </c>
    </row>
    <row r="145" ht="23" customHeight="1">
      <c r="A145" s="14" t="n"/>
      <c r="B145" s="15" t="n"/>
      <c r="C145" s="15" t="n"/>
      <c r="D145" s="15" t="n"/>
      <c r="E145" s="15" t="n"/>
      <c r="F145" s="14" t="n"/>
      <c r="G145" s="15" t="n"/>
      <c r="H145" s="15" t="n"/>
      <c r="I145" s="16" t="n"/>
      <c r="J145" s="16" t="n"/>
      <c r="K145" s="12">
        <f>IF(A145="","",SUMIF(Sales!$C$2:$C$501,A145,Sales!$E$2:$E$501))</f>
        <v/>
      </c>
      <c r="L145" s="12">
        <f>IF(A145="","",H145-K145)</f>
        <v/>
      </c>
      <c r="M145" s="13">
        <f>IF(A145="","",ROUND(L145*I145,2))</f>
        <v/>
      </c>
      <c r="N145" s="13">
        <f>IF(A145="","",ROUND(L145*J145,2))</f>
        <v/>
      </c>
      <c r="O145" s="15" t="n"/>
      <c r="P145" s="12">
        <f>IF(A145="","",IF(COUNTIF($A$2:$A$501,A145)&gt;1,"Duplicate lot ID",IF(OR(B145="",H145="",I145="",J145=""),"Complete required fields",IF(L145&lt;0,"OVER SOLD","OK"))))</f>
        <v/>
      </c>
    </row>
    <row r="146" ht="23" customHeight="1">
      <c r="A146" s="9" t="n"/>
      <c r="B146" s="10" t="n"/>
      <c r="C146" s="10" t="n"/>
      <c r="D146" s="10" t="n"/>
      <c r="E146" s="10" t="n"/>
      <c r="F146" s="9" t="n"/>
      <c r="G146" s="10" t="n"/>
      <c r="H146" s="10" t="n"/>
      <c r="I146" s="11" t="n"/>
      <c r="J146" s="11" t="n"/>
      <c r="K146" s="12">
        <f>IF(A146="","",SUMIF(Sales!$C$2:$C$501,A146,Sales!$E$2:$E$501))</f>
        <v/>
      </c>
      <c r="L146" s="12">
        <f>IF(A146="","",H146-K146)</f>
        <v/>
      </c>
      <c r="M146" s="13">
        <f>IF(A146="","",ROUND(L146*I146,2))</f>
        <v/>
      </c>
      <c r="N146" s="13">
        <f>IF(A146="","",ROUND(L146*J146,2))</f>
        <v/>
      </c>
      <c r="O146" s="10" t="n"/>
      <c r="P146" s="12">
        <f>IF(A146="","",IF(COUNTIF($A$2:$A$501,A146)&gt;1,"Duplicate lot ID",IF(OR(B146="",H146="",I146="",J146=""),"Complete required fields",IF(L146&lt;0,"OVER SOLD","OK"))))</f>
        <v/>
      </c>
    </row>
    <row r="147" ht="23" customHeight="1">
      <c r="A147" s="14" t="n"/>
      <c r="B147" s="15" t="n"/>
      <c r="C147" s="15" t="n"/>
      <c r="D147" s="15" t="n"/>
      <c r="E147" s="15" t="n"/>
      <c r="F147" s="14" t="n"/>
      <c r="G147" s="15" t="n"/>
      <c r="H147" s="15" t="n"/>
      <c r="I147" s="16" t="n"/>
      <c r="J147" s="16" t="n"/>
      <c r="K147" s="12">
        <f>IF(A147="","",SUMIF(Sales!$C$2:$C$501,A147,Sales!$E$2:$E$501))</f>
        <v/>
      </c>
      <c r="L147" s="12">
        <f>IF(A147="","",H147-K147)</f>
        <v/>
      </c>
      <c r="M147" s="13">
        <f>IF(A147="","",ROUND(L147*I147,2))</f>
        <v/>
      </c>
      <c r="N147" s="13">
        <f>IF(A147="","",ROUND(L147*J147,2))</f>
        <v/>
      </c>
      <c r="O147" s="15" t="n"/>
      <c r="P147" s="12">
        <f>IF(A147="","",IF(COUNTIF($A$2:$A$501,A147)&gt;1,"Duplicate lot ID",IF(OR(B147="",H147="",I147="",J147=""),"Complete required fields",IF(L147&lt;0,"OVER SOLD","OK"))))</f>
        <v/>
      </c>
    </row>
    <row r="148" ht="23" customHeight="1">
      <c r="A148" s="9" t="n"/>
      <c r="B148" s="10" t="n"/>
      <c r="C148" s="10" t="n"/>
      <c r="D148" s="10" t="n"/>
      <c r="E148" s="10" t="n"/>
      <c r="F148" s="9" t="n"/>
      <c r="G148" s="10" t="n"/>
      <c r="H148" s="10" t="n"/>
      <c r="I148" s="11" t="n"/>
      <c r="J148" s="11" t="n"/>
      <c r="K148" s="12">
        <f>IF(A148="","",SUMIF(Sales!$C$2:$C$501,A148,Sales!$E$2:$E$501))</f>
        <v/>
      </c>
      <c r="L148" s="12">
        <f>IF(A148="","",H148-K148)</f>
        <v/>
      </c>
      <c r="M148" s="13">
        <f>IF(A148="","",ROUND(L148*I148,2))</f>
        <v/>
      </c>
      <c r="N148" s="13">
        <f>IF(A148="","",ROUND(L148*J148,2))</f>
        <v/>
      </c>
      <c r="O148" s="10" t="n"/>
      <c r="P148" s="12">
        <f>IF(A148="","",IF(COUNTIF($A$2:$A$501,A148)&gt;1,"Duplicate lot ID",IF(OR(B148="",H148="",I148="",J148=""),"Complete required fields",IF(L148&lt;0,"OVER SOLD","OK"))))</f>
        <v/>
      </c>
    </row>
    <row r="149" ht="23" customHeight="1">
      <c r="A149" s="14" t="n"/>
      <c r="B149" s="15" t="n"/>
      <c r="C149" s="15" t="n"/>
      <c r="D149" s="15" t="n"/>
      <c r="E149" s="15" t="n"/>
      <c r="F149" s="14" t="n"/>
      <c r="G149" s="15" t="n"/>
      <c r="H149" s="15" t="n"/>
      <c r="I149" s="16" t="n"/>
      <c r="J149" s="16" t="n"/>
      <c r="K149" s="12">
        <f>IF(A149="","",SUMIF(Sales!$C$2:$C$501,A149,Sales!$E$2:$E$501))</f>
        <v/>
      </c>
      <c r="L149" s="12">
        <f>IF(A149="","",H149-K149)</f>
        <v/>
      </c>
      <c r="M149" s="13">
        <f>IF(A149="","",ROUND(L149*I149,2))</f>
        <v/>
      </c>
      <c r="N149" s="13">
        <f>IF(A149="","",ROUND(L149*J149,2))</f>
        <v/>
      </c>
      <c r="O149" s="15" t="n"/>
      <c r="P149" s="12">
        <f>IF(A149="","",IF(COUNTIF($A$2:$A$501,A149)&gt;1,"Duplicate lot ID",IF(OR(B149="",H149="",I149="",J149=""),"Complete required fields",IF(L149&lt;0,"OVER SOLD","OK"))))</f>
        <v/>
      </c>
    </row>
    <row r="150" ht="23" customHeight="1">
      <c r="A150" s="9" t="n"/>
      <c r="B150" s="10" t="n"/>
      <c r="C150" s="10" t="n"/>
      <c r="D150" s="10" t="n"/>
      <c r="E150" s="10" t="n"/>
      <c r="F150" s="9" t="n"/>
      <c r="G150" s="10" t="n"/>
      <c r="H150" s="10" t="n"/>
      <c r="I150" s="11" t="n"/>
      <c r="J150" s="11" t="n"/>
      <c r="K150" s="12">
        <f>IF(A150="","",SUMIF(Sales!$C$2:$C$501,A150,Sales!$E$2:$E$501))</f>
        <v/>
      </c>
      <c r="L150" s="12">
        <f>IF(A150="","",H150-K150)</f>
        <v/>
      </c>
      <c r="M150" s="13">
        <f>IF(A150="","",ROUND(L150*I150,2))</f>
        <v/>
      </c>
      <c r="N150" s="13">
        <f>IF(A150="","",ROUND(L150*J150,2))</f>
        <v/>
      </c>
      <c r="O150" s="10" t="n"/>
      <c r="P150" s="12">
        <f>IF(A150="","",IF(COUNTIF($A$2:$A$501,A150)&gt;1,"Duplicate lot ID",IF(OR(B150="",H150="",I150="",J150=""),"Complete required fields",IF(L150&lt;0,"OVER SOLD","OK"))))</f>
        <v/>
      </c>
    </row>
    <row r="151" ht="23" customHeight="1">
      <c r="A151" s="14" t="n"/>
      <c r="B151" s="15" t="n"/>
      <c r="C151" s="15" t="n"/>
      <c r="D151" s="15" t="n"/>
      <c r="E151" s="15" t="n"/>
      <c r="F151" s="14" t="n"/>
      <c r="G151" s="15" t="n"/>
      <c r="H151" s="15" t="n"/>
      <c r="I151" s="16" t="n"/>
      <c r="J151" s="16" t="n"/>
      <c r="K151" s="12">
        <f>IF(A151="","",SUMIF(Sales!$C$2:$C$501,A151,Sales!$E$2:$E$501))</f>
        <v/>
      </c>
      <c r="L151" s="12">
        <f>IF(A151="","",H151-K151)</f>
        <v/>
      </c>
      <c r="M151" s="13">
        <f>IF(A151="","",ROUND(L151*I151,2))</f>
        <v/>
      </c>
      <c r="N151" s="13">
        <f>IF(A151="","",ROUND(L151*J151,2))</f>
        <v/>
      </c>
      <c r="O151" s="15" t="n"/>
      <c r="P151" s="12">
        <f>IF(A151="","",IF(COUNTIF($A$2:$A$501,A151)&gt;1,"Duplicate lot ID",IF(OR(B151="",H151="",I151="",J151=""),"Complete required fields",IF(L151&lt;0,"OVER SOLD","OK"))))</f>
        <v/>
      </c>
    </row>
    <row r="152" ht="23" customHeight="1">
      <c r="A152" s="9" t="n"/>
      <c r="B152" s="10" t="n"/>
      <c r="C152" s="10" t="n"/>
      <c r="D152" s="10" t="n"/>
      <c r="E152" s="10" t="n"/>
      <c r="F152" s="9" t="n"/>
      <c r="G152" s="10" t="n"/>
      <c r="H152" s="10" t="n"/>
      <c r="I152" s="11" t="n"/>
      <c r="J152" s="11" t="n"/>
      <c r="K152" s="12">
        <f>IF(A152="","",SUMIF(Sales!$C$2:$C$501,A152,Sales!$E$2:$E$501))</f>
        <v/>
      </c>
      <c r="L152" s="12">
        <f>IF(A152="","",H152-K152)</f>
        <v/>
      </c>
      <c r="M152" s="13">
        <f>IF(A152="","",ROUND(L152*I152,2))</f>
        <v/>
      </c>
      <c r="N152" s="13">
        <f>IF(A152="","",ROUND(L152*J152,2))</f>
        <v/>
      </c>
      <c r="O152" s="10" t="n"/>
      <c r="P152" s="12">
        <f>IF(A152="","",IF(COUNTIF($A$2:$A$501,A152)&gt;1,"Duplicate lot ID",IF(OR(B152="",H152="",I152="",J152=""),"Complete required fields",IF(L152&lt;0,"OVER SOLD","OK"))))</f>
        <v/>
      </c>
    </row>
    <row r="153" ht="23" customHeight="1">
      <c r="A153" s="14" t="n"/>
      <c r="B153" s="15" t="n"/>
      <c r="C153" s="15" t="n"/>
      <c r="D153" s="15" t="n"/>
      <c r="E153" s="15" t="n"/>
      <c r="F153" s="14" t="n"/>
      <c r="G153" s="15" t="n"/>
      <c r="H153" s="15" t="n"/>
      <c r="I153" s="16" t="n"/>
      <c r="J153" s="16" t="n"/>
      <c r="K153" s="12">
        <f>IF(A153="","",SUMIF(Sales!$C$2:$C$501,A153,Sales!$E$2:$E$501))</f>
        <v/>
      </c>
      <c r="L153" s="12">
        <f>IF(A153="","",H153-K153)</f>
        <v/>
      </c>
      <c r="M153" s="13">
        <f>IF(A153="","",ROUND(L153*I153,2))</f>
        <v/>
      </c>
      <c r="N153" s="13">
        <f>IF(A153="","",ROUND(L153*J153,2))</f>
        <v/>
      </c>
      <c r="O153" s="15" t="n"/>
      <c r="P153" s="12">
        <f>IF(A153="","",IF(COUNTIF($A$2:$A$501,A153)&gt;1,"Duplicate lot ID",IF(OR(B153="",H153="",I153="",J153=""),"Complete required fields",IF(L153&lt;0,"OVER SOLD","OK"))))</f>
        <v/>
      </c>
    </row>
    <row r="154" ht="23" customHeight="1">
      <c r="A154" s="9" t="n"/>
      <c r="B154" s="10" t="n"/>
      <c r="C154" s="10" t="n"/>
      <c r="D154" s="10" t="n"/>
      <c r="E154" s="10" t="n"/>
      <c r="F154" s="9" t="n"/>
      <c r="G154" s="10" t="n"/>
      <c r="H154" s="10" t="n"/>
      <c r="I154" s="11" t="n"/>
      <c r="J154" s="11" t="n"/>
      <c r="K154" s="12">
        <f>IF(A154="","",SUMIF(Sales!$C$2:$C$501,A154,Sales!$E$2:$E$501))</f>
        <v/>
      </c>
      <c r="L154" s="12">
        <f>IF(A154="","",H154-K154)</f>
        <v/>
      </c>
      <c r="M154" s="13">
        <f>IF(A154="","",ROUND(L154*I154,2))</f>
        <v/>
      </c>
      <c r="N154" s="13">
        <f>IF(A154="","",ROUND(L154*J154,2))</f>
        <v/>
      </c>
      <c r="O154" s="10" t="n"/>
      <c r="P154" s="12">
        <f>IF(A154="","",IF(COUNTIF($A$2:$A$501,A154)&gt;1,"Duplicate lot ID",IF(OR(B154="",H154="",I154="",J154=""),"Complete required fields",IF(L154&lt;0,"OVER SOLD","OK"))))</f>
        <v/>
      </c>
    </row>
    <row r="155" ht="23" customHeight="1">
      <c r="A155" s="14" t="n"/>
      <c r="B155" s="15" t="n"/>
      <c r="C155" s="15" t="n"/>
      <c r="D155" s="15" t="n"/>
      <c r="E155" s="15" t="n"/>
      <c r="F155" s="14" t="n"/>
      <c r="G155" s="15" t="n"/>
      <c r="H155" s="15" t="n"/>
      <c r="I155" s="16" t="n"/>
      <c r="J155" s="16" t="n"/>
      <c r="K155" s="12">
        <f>IF(A155="","",SUMIF(Sales!$C$2:$C$501,A155,Sales!$E$2:$E$501))</f>
        <v/>
      </c>
      <c r="L155" s="12">
        <f>IF(A155="","",H155-K155)</f>
        <v/>
      </c>
      <c r="M155" s="13">
        <f>IF(A155="","",ROUND(L155*I155,2))</f>
        <v/>
      </c>
      <c r="N155" s="13">
        <f>IF(A155="","",ROUND(L155*J155,2))</f>
        <v/>
      </c>
      <c r="O155" s="15" t="n"/>
      <c r="P155" s="12">
        <f>IF(A155="","",IF(COUNTIF($A$2:$A$501,A155)&gt;1,"Duplicate lot ID",IF(OR(B155="",H155="",I155="",J155=""),"Complete required fields",IF(L155&lt;0,"OVER SOLD","OK"))))</f>
        <v/>
      </c>
    </row>
    <row r="156" ht="23" customHeight="1">
      <c r="A156" s="9" t="n"/>
      <c r="B156" s="10" t="n"/>
      <c r="C156" s="10" t="n"/>
      <c r="D156" s="10" t="n"/>
      <c r="E156" s="10" t="n"/>
      <c r="F156" s="9" t="n"/>
      <c r="G156" s="10" t="n"/>
      <c r="H156" s="10" t="n"/>
      <c r="I156" s="11" t="n"/>
      <c r="J156" s="11" t="n"/>
      <c r="K156" s="12">
        <f>IF(A156="","",SUMIF(Sales!$C$2:$C$501,A156,Sales!$E$2:$E$501))</f>
        <v/>
      </c>
      <c r="L156" s="12">
        <f>IF(A156="","",H156-K156)</f>
        <v/>
      </c>
      <c r="M156" s="13">
        <f>IF(A156="","",ROUND(L156*I156,2))</f>
        <v/>
      </c>
      <c r="N156" s="13">
        <f>IF(A156="","",ROUND(L156*J156,2))</f>
        <v/>
      </c>
      <c r="O156" s="10" t="n"/>
      <c r="P156" s="12">
        <f>IF(A156="","",IF(COUNTIF($A$2:$A$501,A156)&gt;1,"Duplicate lot ID",IF(OR(B156="",H156="",I156="",J156=""),"Complete required fields",IF(L156&lt;0,"OVER SOLD","OK"))))</f>
        <v/>
      </c>
    </row>
    <row r="157" ht="23" customHeight="1">
      <c r="A157" s="14" t="n"/>
      <c r="B157" s="15" t="n"/>
      <c r="C157" s="15" t="n"/>
      <c r="D157" s="15" t="n"/>
      <c r="E157" s="15" t="n"/>
      <c r="F157" s="14" t="n"/>
      <c r="G157" s="15" t="n"/>
      <c r="H157" s="15" t="n"/>
      <c r="I157" s="16" t="n"/>
      <c r="J157" s="16" t="n"/>
      <c r="K157" s="12">
        <f>IF(A157="","",SUMIF(Sales!$C$2:$C$501,A157,Sales!$E$2:$E$501))</f>
        <v/>
      </c>
      <c r="L157" s="12">
        <f>IF(A157="","",H157-K157)</f>
        <v/>
      </c>
      <c r="M157" s="13">
        <f>IF(A157="","",ROUND(L157*I157,2))</f>
        <v/>
      </c>
      <c r="N157" s="13">
        <f>IF(A157="","",ROUND(L157*J157,2))</f>
        <v/>
      </c>
      <c r="O157" s="15" t="n"/>
      <c r="P157" s="12">
        <f>IF(A157="","",IF(COUNTIF($A$2:$A$501,A157)&gt;1,"Duplicate lot ID",IF(OR(B157="",H157="",I157="",J157=""),"Complete required fields",IF(L157&lt;0,"OVER SOLD","OK"))))</f>
        <v/>
      </c>
    </row>
    <row r="158" ht="23" customHeight="1">
      <c r="A158" s="9" t="n"/>
      <c r="B158" s="10" t="n"/>
      <c r="C158" s="10" t="n"/>
      <c r="D158" s="10" t="n"/>
      <c r="E158" s="10" t="n"/>
      <c r="F158" s="9" t="n"/>
      <c r="G158" s="10" t="n"/>
      <c r="H158" s="10" t="n"/>
      <c r="I158" s="11" t="n"/>
      <c r="J158" s="11" t="n"/>
      <c r="K158" s="12">
        <f>IF(A158="","",SUMIF(Sales!$C$2:$C$501,A158,Sales!$E$2:$E$501))</f>
        <v/>
      </c>
      <c r="L158" s="12">
        <f>IF(A158="","",H158-K158)</f>
        <v/>
      </c>
      <c r="M158" s="13">
        <f>IF(A158="","",ROUND(L158*I158,2))</f>
        <v/>
      </c>
      <c r="N158" s="13">
        <f>IF(A158="","",ROUND(L158*J158,2))</f>
        <v/>
      </c>
      <c r="O158" s="10" t="n"/>
      <c r="P158" s="12">
        <f>IF(A158="","",IF(COUNTIF($A$2:$A$501,A158)&gt;1,"Duplicate lot ID",IF(OR(B158="",H158="",I158="",J158=""),"Complete required fields",IF(L158&lt;0,"OVER SOLD","OK"))))</f>
        <v/>
      </c>
    </row>
    <row r="159" ht="23" customHeight="1">
      <c r="A159" s="14" t="n"/>
      <c r="B159" s="15" t="n"/>
      <c r="C159" s="15" t="n"/>
      <c r="D159" s="15" t="n"/>
      <c r="E159" s="15" t="n"/>
      <c r="F159" s="14" t="n"/>
      <c r="G159" s="15" t="n"/>
      <c r="H159" s="15" t="n"/>
      <c r="I159" s="16" t="n"/>
      <c r="J159" s="16" t="n"/>
      <c r="K159" s="12">
        <f>IF(A159="","",SUMIF(Sales!$C$2:$C$501,A159,Sales!$E$2:$E$501))</f>
        <v/>
      </c>
      <c r="L159" s="12">
        <f>IF(A159="","",H159-K159)</f>
        <v/>
      </c>
      <c r="M159" s="13">
        <f>IF(A159="","",ROUND(L159*I159,2))</f>
        <v/>
      </c>
      <c r="N159" s="13">
        <f>IF(A159="","",ROUND(L159*J159,2))</f>
        <v/>
      </c>
      <c r="O159" s="15" t="n"/>
      <c r="P159" s="12">
        <f>IF(A159="","",IF(COUNTIF($A$2:$A$501,A159)&gt;1,"Duplicate lot ID",IF(OR(B159="",H159="",I159="",J159=""),"Complete required fields",IF(L159&lt;0,"OVER SOLD","OK"))))</f>
        <v/>
      </c>
    </row>
    <row r="160" ht="23" customHeight="1">
      <c r="A160" s="9" t="n"/>
      <c r="B160" s="10" t="n"/>
      <c r="C160" s="10" t="n"/>
      <c r="D160" s="10" t="n"/>
      <c r="E160" s="10" t="n"/>
      <c r="F160" s="9" t="n"/>
      <c r="G160" s="10" t="n"/>
      <c r="H160" s="10" t="n"/>
      <c r="I160" s="11" t="n"/>
      <c r="J160" s="11" t="n"/>
      <c r="K160" s="12">
        <f>IF(A160="","",SUMIF(Sales!$C$2:$C$501,A160,Sales!$E$2:$E$501))</f>
        <v/>
      </c>
      <c r="L160" s="12">
        <f>IF(A160="","",H160-K160)</f>
        <v/>
      </c>
      <c r="M160" s="13">
        <f>IF(A160="","",ROUND(L160*I160,2))</f>
        <v/>
      </c>
      <c r="N160" s="13">
        <f>IF(A160="","",ROUND(L160*J160,2))</f>
        <v/>
      </c>
      <c r="O160" s="10" t="n"/>
      <c r="P160" s="12">
        <f>IF(A160="","",IF(COUNTIF($A$2:$A$501,A160)&gt;1,"Duplicate lot ID",IF(OR(B160="",H160="",I160="",J160=""),"Complete required fields",IF(L160&lt;0,"OVER SOLD","OK"))))</f>
        <v/>
      </c>
    </row>
    <row r="161" ht="23" customHeight="1">
      <c r="A161" s="14" t="n"/>
      <c r="B161" s="15" t="n"/>
      <c r="C161" s="15" t="n"/>
      <c r="D161" s="15" t="n"/>
      <c r="E161" s="15" t="n"/>
      <c r="F161" s="14" t="n"/>
      <c r="G161" s="15" t="n"/>
      <c r="H161" s="15" t="n"/>
      <c r="I161" s="16" t="n"/>
      <c r="J161" s="16" t="n"/>
      <c r="K161" s="12">
        <f>IF(A161="","",SUMIF(Sales!$C$2:$C$501,A161,Sales!$E$2:$E$501))</f>
        <v/>
      </c>
      <c r="L161" s="12">
        <f>IF(A161="","",H161-K161)</f>
        <v/>
      </c>
      <c r="M161" s="13">
        <f>IF(A161="","",ROUND(L161*I161,2))</f>
        <v/>
      </c>
      <c r="N161" s="13">
        <f>IF(A161="","",ROUND(L161*J161,2))</f>
        <v/>
      </c>
      <c r="O161" s="15" t="n"/>
      <c r="P161" s="12">
        <f>IF(A161="","",IF(COUNTIF($A$2:$A$501,A161)&gt;1,"Duplicate lot ID",IF(OR(B161="",H161="",I161="",J161=""),"Complete required fields",IF(L161&lt;0,"OVER SOLD","OK"))))</f>
        <v/>
      </c>
    </row>
    <row r="162" ht="23" customHeight="1">
      <c r="A162" s="9" t="n"/>
      <c r="B162" s="10" t="n"/>
      <c r="C162" s="10" t="n"/>
      <c r="D162" s="10" t="n"/>
      <c r="E162" s="10" t="n"/>
      <c r="F162" s="9" t="n"/>
      <c r="G162" s="10" t="n"/>
      <c r="H162" s="10" t="n"/>
      <c r="I162" s="11" t="n"/>
      <c r="J162" s="11" t="n"/>
      <c r="K162" s="12">
        <f>IF(A162="","",SUMIF(Sales!$C$2:$C$501,A162,Sales!$E$2:$E$501))</f>
        <v/>
      </c>
      <c r="L162" s="12">
        <f>IF(A162="","",H162-K162)</f>
        <v/>
      </c>
      <c r="M162" s="13">
        <f>IF(A162="","",ROUND(L162*I162,2))</f>
        <v/>
      </c>
      <c r="N162" s="13">
        <f>IF(A162="","",ROUND(L162*J162,2))</f>
        <v/>
      </c>
      <c r="O162" s="10" t="n"/>
      <c r="P162" s="12">
        <f>IF(A162="","",IF(COUNTIF($A$2:$A$501,A162)&gt;1,"Duplicate lot ID",IF(OR(B162="",H162="",I162="",J162=""),"Complete required fields",IF(L162&lt;0,"OVER SOLD","OK"))))</f>
        <v/>
      </c>
    </row>
    <row r="163" ht="23" customHeight="1">
      <c r="A163" s="14" t="n"/>
      <c r="B163" s="15" t="n"/>
      <c r="C163" s="15" t="n"/>
      <c r="D163" s="15" t="n"/>
      <c r="E163" s="15" t="n"/>
      <c r="F163" s="14" t="n"/>
      <c r="G163" s="15" t="n"/>
      <c r="H163" s="15" t="n"/>
      <c r="I163" s="16" t="n"/>
      <c r="J163" s="16" t="n"/>
      <c r="K163" s="12">
        <f>IF(A163="","",SUMIF(Sales!$C$2:$C$501,A163,Sales!$E$2:$E$501))</f>
        <v/>
      </c>
      <c r="L163" s="12">
        <f>IF(A163="","",H163-K163)</f>
        <v/>
      </c>
      <c r="M163" s="13">
        <f>IF(A163="","",ROUND(L163*I163,2))</f>
        <v/>
      </c>
      <c r="N163" s="13">
        <f>IF(A163="","",ROUND(L163*J163,2))</f>
        <v/>
      </c>
      <c r="O163" s="15" t="n"/>
      <c r="P163" s="12">
        <f>IF(A163="","",IF(COUNTIF($A$2:$A$501,A163)&gt;1,"Duplicate lot ID",IF(OR(B163="",H163="",I163="",J163=""),"Complete required fields",IF(L163&lt;0,"OVER SOLD","OK"))))</f>
        <v/>
      </c>
    </row>
    <row r="164" ht="23" customHeight="1">
      <c r="A164" s="9" t="n"/>
      <c r="B164" s="10" t="n"/>
      <c r="C164" s="10" t="n"/>
      <c r="D164" s="10" t="n"/>
      <c r="E164" s="10" t="n"/>
      <c r="F164" s="9" t="n"/>
      <c r="G164" s="10" t="n"/>
      <c r="H164" s="10" t="n"/>
      <c r="I164" s="11" t="n"/>
      <c r="J164" s="11" t="n"/>
      <c r="K164" s="12">
        <f>IF(A164="","",SUMIF(Sales!$C$2:$C$501,A164,Sales!$E$2:$E$501))</f>
        <v/>
      </c>
      <c r="L164" s="12">
        <f>IF(A164="","",H164-K164)</f>
        <v/>
      </c>
      <c r="M164" s="13">
        <f>IF(A164="","",ROUND(L164*I164,2))</f>
        <v/>
      </c>
      <c r="N164" s="13">
        <f>IF(A164="","",ROUND(L164*J164,2))</f>
        <v/>
      </c>
      <c r="O164" s="10" t="n"/>
      <c r="P164" s="12">
        <f>IF(A164="","",IF(COUNTIF($A$2:$A$501,A164)&gt;1,"Duplicate lot ID",IF(OR(B164="",H164="",I164="",J164=""),"Complete required fields",IF(L164&lt;0,"OVER SOLD","OK"))))</f>
        <v/>
      </c>
    </row>
    <row r="165" ht="23" customHeight="1">
      <c r="A165" s="14" t="n"/>
      <c r="B165" s="15" t="n"/>
      <c r="C165" s="15" t="n"/>
      <c r="D165" s="15" t="n"/>
      <c r="E165" s="15" t="n"/>
      <c r="F165" s="14" t="n"/>
      <c r="G165" s="15" t="n"/>
      <c r="H165" s="15" t="n"/>
      <c r="I165" s="16" t="n"/>
      <c r="J165" s="16" t="n"/>
      <c r="K165" s="12">
        <f>IF(A165="","",SUMIF(Sales!$C$2:$C$501,A165,Sales!$E$2:$E$501))</f>
        <v/>
      </c>
      <c r="L165" s="12">
        <f>IF(A165="","",H165-K165)</f>
        <v/>
      </c>
      <c r="M165" s="13">
        <f>IF(A165="","",ROUND(L165*I165,2))</f>
        <v/>
      </c>
      <c r="N165" s="13">
        <f>IF(A165="","",ROUND(L165*J165,2))</f>
        <v/>
      </c>
      <c r="O165" s="15" t="n"/>
      <c r="P165" s="12">
        <f>IF(A165="","",IF(COUNTIF($A$2:$A$501,A165)&gt;1,"Duplicate lot ID",IF(OR(B165="",H165="",I165="",J165=""),"Complete required fields",IF(L165&lt;0,"OVER SOLD","OK"))))</f>
        <v/>
      </c>
    </row>
    <row r="166" ht="23" customHeight="1">
      <c r="A166" s="9" t="n"/>
      <c r="B166" s="10" t="n"/>
      <c r="C166" s="10" t="n"/>
      <c r="D166" s="10" t="n"/>
      <c r="E166" s="10" t="n"/>
      <c r="F166" s="9" t="n"/>
      <c r="G166" s="10" t="n"/>
      <c r="H166" s="10" t="n"/>
      <c r="I166" s="11" t="n"/>
      <c r="J166" s="11" t="n"/>
      <c r="K166" s="12">
        <f>IF(A166="","",SUMIF(Sales!$C$2:$C$501,A166,Sales!$E$2:$E$501))</f>
        <v/>
      </c>
      <c r="L166" s="12">
        <f>IF(A166="","",H166-K166)</f>
        <v/>
      </c>
      <c r="M166" s="13">
        <f>IF(A166="","",ROUND(L166*I166,2))</f>
        <v/>
      </c>
      <c r="N166" s="13">
        <f>IF(A166="","",ROUND(L166*J166,2))</f>
        <v/>
      </c>
      <c r="O166" s="10" t="n"/>
      <c r="P166" s="12">
        <f>IF(A166="","",IF(COUNTIF($A$2:$A$501,A166)&gt;1,"Duplicate lot ID",IF(OR(B166="",H166="",I166="",J166=""),"Complete required fields",IF(L166&lt;0,"OVER SOLD","OK"))))</f>
        <v/>
      </c>
    </row>
    <row r="167" ht="23" customHeight="1">
      <c r="A167" s="14" t="n"/>
      <c r="B167" s="15" t="n"/>
      <c r="C167" s="15" t="n"/>
      <c r="D167" s="15" t="n"/>
      <c r="E167" s="15" t="n"/>
      <c r="F167" s="14" t="n"/>
      <c r="G167" s="15" t="n"/>
      <c r="H167" s="15" t="n"/>
      <c r="I167" s="16" t="n"/>
      <c r="J167" s="16" t="n"/>
      <c r="K167" s="12">
        <f>IF(A167="","",SUMIF(Sales!$C$2:$C$501,A167,Sales!$E$2:$E$501))</f>
        <v/>
      </c>
      <c r="L167" s="12">
        <f>IF(A167="","",H167-K167)</f>
        <v/>
      </c>
      <c r="M167" s="13">
        <f>IF(A167="","",ROUND(L167*I167,2))</f>
        <v/>
      </c>
      <c r="N167" s="13">
        <f>IF(A167="","",ROUND(L167*J167,2))</f>
        <v/>
      </c>
      <c r="O167" s="15" t="n"/>
      <c r="P167" s="12">
        <f>IF(A167="","",IF(COUNTIF($A$2:$A$501,A167)&gt;1,"Duplicate lot ID",IF(OR(B167="",H167="",I167="",J167=""),"Complete required fields",IF(L167&lt;0,"OVER SOLD","OK"))))</f>
        <v/>
      </c>
    </row>
    <row r="168" ht="23" customHeight="1">
      <c r="A168" s="9" t="n"/>
      <c r="B168" s="10" t="n"/>
      <c r="C168" s="10" t="n"/>
      <c r="D168" s="10" t="n"/>
      <c r="E168" s="10" t="n"/>
      <c r="F168" s="9" t="n"/>
      <c r="G168" s="10" t="n"/>
      <c r="H168" s="10" t="n"/>
      <c r="I168" s="11" t="n"/>
      <c r="J168" s="11" t="n"/>
      <c r="K168" s="12">
        <f>IF(A168="","",SUMIF(Sales!$C$2:$C$501,A168,Sales!$E$2:$E$501))</f>
        <v/>
      </c>
      <c r="L168" s="12">
        <f>IF(A168="","",H168-K168)</f>
        <v/>
      </c>
      <c r="M168" s="13">
        <f>IF(A168="","",ROUND(L168*I168,2))</f>
        <v/>
      </c>
      <c r="N168" s="13">
        <f>IF(A168="","",ROUND(L168*J168,2))</f>
        <v/>
      </c>
      <c r="O168" s="10" t="n"/>
      <c r="P168" s="12">
        <f>IF(A168="","",IF(COUNTIF($A$2:$A$501,A168)&gt;1,"Duplicate lot ID",IF(OR(B168="",H168="",I168="",J168=""),"Complete required fields",IF(L168&lt;0,"OVER SOLD","OK"))))</f>
        <v/>
      </c>
    </row>
    <row r="169" ht="23" customHeight="1">
      <c r="A169" s="14" t="n"/>
      <c r="B169" s="15" t="n"/>
      <c r="C169" s="15" t="n"/>
      <c r="D169" s="15" t="n"/>
      <c r="E169" s="15" t="n"/>
      <c r="F169" s="14" t="n"/>
      <c r="G169" s="15" t="n"/>
      <c r="H169" s="15" t="n"/>
      <c r="I169" s="16" t="n"/>
      <c r="J169" s="16" t="n"/>
      <c r="K169" s="12">
        <f>IF(A169="","",SUMIF(Sales!$C$2:$C$501,A169,Sales!$E$2:$E$501))</f>
        <v/>
      </c>
      <c r="L169" s="12">
        <f>IF(A169="","",H169-K169)</f>
        <v/>
      </c>
      <c r="M169" s="13">
        <f>IF(A169="","",ROUND(L169*I169,2))</f>
        <v/>
      </c>
      <c r="N169" s="13">
        <f>IF(A169="","",ROUND(L169*J169,2))</f>
        <v/>
      </c>
      <c r="O169" s="15" t="n"/>
      <c r="P169" s="12">
        <f>IF(A169="","",IF(COUNTIF($A$2:$A$501,A169)&gt;1,"Duplicate lot ID",IF(OR(B169="",H169="",I169="",J169=""),"Complete required fields",IF(L169&lt;0,"OVER SOLD","OK"))))</f>
        <v/>
      </c>
    </row>
    <row r="170" ht="23" customHeight="1">
      <c r="A170" s="9" t="n"/>
      <c r="B170" s="10" t="n"/>
      <c r="C170" s="10" t="n"/>
      <c r="D170" s="10" t="n"/>
      <c r="E170" s="10" t="n"/>
      <c r="F170" s="9" t="n"/>
      <c r="G170" s="10" t="n"/>
      <c r="H170" s="10" t="n"/>
      <c r="I170" s="11" t="n"/>
      <c r="J170" s="11" t="n"/>
      <c r="K170" s="12">
        <f>IF(A170="","",SUMIF(Sales!$C$2:$C$501,A170,Sales!$E$2:$E$501))</f>
        <v/>
      </c>
      <c r="L170" s="12">
        <f>IF(A170="","",H170-K170)</f>
        <v/>
      </c>
      <c r="M170" s="13">
        <f>IF(A170="","",ROUND(L170*I170,2))</f>
        <v/>
      </c>
      <c r="N170" s="13">
        <f>IF(A170="","",ROUND(L170*J170,2))</f>
        <v/>
      </c>
      <c r="O170" s="10" t="n"/>
      <c r="P170" s="12">
        <f>IF(A170="","",IF(COUNTIF($A$2:$A$501,A170)&gt;1,"Duplicate lot ID",IF(OR(B170="",H170="",I170="",J170=""),"Complete required fields",IF(L170&lt;0,"OVER SOLD","OK"))))</f>
        <v/>
      </c>
    </row>
    <row r="171" ht="23" customHeight="1">
      <c r="A171" s="14" t="n"/>
      <c r="B171" s="15" t="n"/>
      <c r="C171" s="15" t="n"/>
      <c r="D171" s="15" t="n"/>
      <c r="E171" s="15" t="n"/>
      <c r="F171" s="14" t="n"/>
      <c r="G171" s="15" t="n"/>
      <c r="H171" s="15" t="n"/>
      <c r="I171" s="16" t="n"/>
      <c r="J171" s="16" t="n"/>
      <c r="K171" s="12">
        <f>IF(A171="","",SUMIF(Sales!$C$2:$C$501,A171,Sales!$E$2:$E$501))</f>
        <v/>
      </c>
      <c r="L171" s="12">
        <f>IF(A171="","",H171-K171)</f>
        <v/>
      </c>
      <c r="M171" s="13">
        <f>IF(A171="","",ROUND(L171*I171,2))</f>
        <v/>
      </c>
      <c r="N171" s="13">
        <f>IF(A171="","",ROUND(L171*J171,2))</f>
        <v/>
      </c>
      <c r="O171" s="15" t="n"/>
      <c r="P171" s="12">
        <f>IF(A171="","",IF(COUNTIF($A$2:$A$501,A171)&gt;1,"Duplicate lot ID",IF(OR(B171="",H171="",I171="",J171=""),"Complete required fields",IF(L171&lt;0,"OVER SOLD","OK"))))</f>
        <v/>
      </c>
    </row>
    <row r="172" ht="23" customHeight="1">
      <c r="A172" s="9" t="n"/>
      <c r="B172" s="10" t="n"/>
      <c r="C172" s="10" t="n"/>
      <c r="D172" s="10" t="n"/>
      <c r="E172" s="10" t="n"/>
      <c r="F172" s="9" t="n"/>
      <c r="G172" s="10" t="n"/>
      <c r="H172" s="10" t="n"/>
      <c r="I172" s="11" t="n"/>
      <c r="J172" s="11" t="n"/>
      <c r="K172" s="12">
        <f>IF(A172="","",SUMIF(Sales!$C$2:$C$501,A172,Sales!$E$2:$E$501))</f>
        <v/>
      </c>
      <c r="L172" s="12">
        <f>IF(A172="","",H172-K172)</f>
        <v/>
      </c>
      <c r="M172" s="13">
        <f>IF(A172="","",ROUND(L172*I172,2))</f>
        <v/>
      </c>
      <c r="N172" s="13">
        <f>IF(A172="","",ROUND(L172*J172,2))</f>
        <v/>
      </c>
      <c r="O172" s="10" t="n"/>
      <c r="P172" s="12">
        <f>IF(A172="","",IF(COUNTIF($A$2:$A$501,A172)&gt;1,"Duplicate lot ID",IF(OR(B172="",H172="",I172="",J172=""),"Complete required fields",IF(L172&lt;0,"OVER SOLD","OK"))))</f>
        <v/>
      </c>
    </row>
    <row r="173" ht="23" customHeight="1">
      <c r="A173" s="14" t="n"/>
      <c r="B173" s="15" t="n"/>
      <c r="C173" s="15" t="n"/>
      <c r="D173" s="15" t="n"/>
      <c r="E173" s="15" t="n"/>
      <c r="F173" s="14" t="n"/>
      <c r="G173" s="15" t="n"/>
      <c r="H173" s="15" t="n"/>
      <c r="I173" s="16" t="n"/>
      <c r="J173" s="16" t="n"/>
      <c r="K173" s="12">
        <f>IF(A173="","",SUMIF(Sales!$C$2:$C$501,A173,Sales!$E$2:$E$501))</f>
        <v/>
      </c>
      <c r="L173" s="12">
        <f>IF(A173="","",H173-K173)</f>
        <v/>
      </c>
      <c r="M173" s="13">
        <f>IF(A173="","",ROUND(L173*I173,2))</f>
        <v/>
      </c>
      <c r="N173" s="13">
        <f>IF(A173="","",ROUND(L173*J173,2))</f>
        <v/>
      </c>
      <c r="O173" s="15" t="n"/>
      <c r="P173" s="12">
        <f>IF(A173="","",IF(COUNTIF($A$2:$A$501,A173)&gt;1,"Duplicate lot ID",IF(OR(B173="",H173="",I173="",J173=""),"Complete required fields",IF(L173&lt;0,"OVER SOLD","OK"))))</f>
        <v/>
      </c>
    </row>
    <row r="174" ht="23" customHeight="1">
      <c r="A174" s="9" t="n"/>
      <c r="B174" s="10" t="n"/>
      <c r="C174" s="10" t="n"/>
      <c r="D174" s="10" t="n"/>
      <c r="E174" s="10" t="n"/>
      <c r="F174" s="9" t="n"/>
      <c r="G174" s="10" t="n"/>
      <c r="H174" s="10" t="n"/>
      <c r="I174" s="11" t="n"/>
      <c r="J174" s="11" t="n"/>
      <c r="K174" s="12">
        <f>IF(A174="","",SUMIF(Sales!$C$2:$C$501,A174,Sales!$E$2:$E$501))</f>
        <v/>
      </c>
      <c r="L174" s="12">
        <f>IF(A174="","",H174-K174)</f>
        <v/>
      </c>
      <c r="M174" s="13">
        <f>IF(A174="","",ROUND(L174*I174,2))</f>
        <v/>
      </c>
      <c r="N174" s="13">
        <f>IF(A174="","",ROUND(L174*J174,2))</f>
        <v/>
      </c>
      <c r="O174" s="10" t="n"/>
      <c r="P174" s="12">
        <f>IF(A174="","",IF(COUNTIF($A$2:$A$501,A174)&gt;1,"Duplicate lot ID",IF(OR(B174="",H174="",I174="",J174=""),"Complete required fields",IF(L174&lt;0,"OVER SOLD","OK"))))</f>
        <v/>
      </c>
    </row>
    <row r="175" ht="23" customHeight="1">
      <c r="A175" s="14" t="n"/>
      <c r="B175" s="15" t="n"/>
      <c r="C175" s="15" t="n"/>
      <c r="D175" s="15" t="n"/>
      <c r="E175" s="15" t="n"/>
      <c r="F175" s="14" t="n"/>
      <c r="G175" s="15" t="n"/>
      <c r="H175" s="15" t="n"/>
      <c r="I175" s="16" t="n"/>
      <c r="J175" s="16" t="n"/>
      <c r="K175" s="12">
        <f>IF(A175="","",SUMIF(Sales!$C$2:$C$501,A175,Sales!$E$2:$E$501))</f>
        <v/>
      </c>
      <c r="L175" s="12">
        <f>IF(A175="","",H175-K175)</f>
        <v/>
      </c>
      <c r="M175" s="13">
        <f>IF(A175="","",ROUND(L175*I175,2))</f>
        <v/>
      </c>
      <c r="N175" s="13">
        <f>IF(A175="","",ROUND(L175*J175,2))</f>
        <v/>
      </c>
      <c r="O175" s="15" t="n"/>
      <c r="P175" s="12">
        <f>IF(A175="","",IF(COUNTIF($A$2:$A$501,A175)&gt;1,"Duplicate lot ID",IF(OR(B175="",H175="",I175="",J175=""),"Complete required fields",IF(L175&lt;0,"OVER SOLD","OK"))))</f>
        <v/>
      </c>
    </row>
    <row r="176" ht="23" customHeight="1">
      <c r="A176" s="9" t="n"/>
      <c r="B176" s="10" t="n"/>
      <c r="C176" s="10" t="n"/>
      <c r="D176" s="10" t="n"/>
      <c r="E176" s="10" t="n"/>
      <c r="F176" s="9" t="n"/>
      <c r="G176" s="10" t="n"/>
      <c r="H176" s="10" t="n"/>
      <c r="I176" s="11" t="n"/>
      <c r="J176" s="11" t="n"/>
      <c r="K176" s="12">
        <f>IF(A176="","",SUMIF(Sales!$C$2:$C$501,A176,Sales!$E$2:$E$501))</f>
        <v/>
      </c>
      <c r="L176" s="12">
        <f>IF(A176="","",H176-K176)</f>
        <v/>
      </c>
      <c r="M176" s="13">
        <f>IF(A176="","",ROUND(L176*I176,2))</f>
        <v/>
      </c>
      <c r="N176" s="13">
        <f>IF(A176="","",ROUND(L176*J176,2))</f>
        <v/>
      </c>
      <c r="O176" s="10" t="n"/>
      <c r="P176" s="12">
        <f>IF(A176="","",IF(COUNTIF($A$2:$A$501,A176)&gt;1,"Duplicate lot ID",IF(OR(B176="",H176="",I176="",J176=""),"Complete required fields",IF(L176&lt;0,"OVER SOLD","OK"))))</f>
        <v/>
      </c>
    </row>
    <row r="177" ht="23" customHeight="1">
      <c r="A177" s="14" t="n"/>
      <c r="B177" s="15" t="n"/>
      <c r="C177" s="15" t="n"/>
      <c r="D177" s="15" t="n"/>
      <c r="E177" s="15" t="n"/>
      <c r="F177" s="14" t="n"/>
      <c r="G177" s="15" t="n"/>
      <c r="H177" s="15" t="n"/>
      <c r="I177" s="16" t="n"/>
      <c r="J177" s="16" t="n"/>
      <c r="K177" s="12">
        <f>IF(A177="","",SUMIF(Sales!$C$2:$C$501,A177,Sales!$E$2:$E$501))</f>
        <v/>
      </c>
      <c r="L177" s="12">
        <f>IF(A177="","",H177-K177)</f>
        <v/>
      </c>
      <c r="M177" s="13">
        <f>IF(A177="","",ROUND(L177*I177,2))</f>
        <v/>
      </c>
      <c r="N177" s="13">
        <f>IF(A177="","",ROUND(L177*J177,2))</f>
        <v/>
      </c>
      <c r="O177" s="15" t="n"/>
      <c r="P177" s="12">
        <f>IF(A177="","",IF(COUNTIF($A$2:$A$501,A177)&gt;1,"Duplicate lot ID",IF(OR(B177="",H177="",I177="",J177=""),"Complete required fields",IF(L177&lt;0,"OVER SOLD","OK"))))</f>
        <v/>
      </c>
    </row>
    <row r="178" ht="23" customHeight="1">
      <c r="A178" s="9" t="n"/>
      <c r="B178" s="10" t="n"/>
      <c r="C178" s="10" t="n"/>
      <c r="D178" s="10" t="n"/>
      <c r="E178" s="10" t="n"/>
      <c r="F178" s="9" t="n"/>
      <c r="G178" s="10" t="n"/>
      <c r="H178" s="10" t="n"/>
      <c r="I178" s="11" t="n"/>
      <c r="J178" s="11" t="n"/>
      <c r="K178" s="12">
        <f>IF(A178="","",SUMIF(Sales!$C$2:$C$501,A178,Sales!$E$2:$E$501))</f>
        <v/>
      </c>
      <c r="L178" s="12">
        <f>IF(A178="","",H178-K178)</f>
        <v/>
      </c>
      <c r="M178" s="13">
        <f>IF(A178="","",ROUND(L178*I178,2))</f>
        <v/>
      </c>
      <c r="N178" s="13">
        <f>IF(A178="","",ROUND(L178*J178,2))</f>
        <v/>
      </c>
      <c r="O178" s="10" t="n"/>
      <c r="P178" s="12">
        <f>IF(A178="","",IF(COUNTIF($A$2:$A$501,A178)&gt;1,"Duplicate lot ID",IF(OR(B178="",H178="",I178="",J178=""),"Complete required fields",IF(L178&lt;0,"OVER SOLD","OK"))))</f>
        <v/>
      </c>
    </row>
    <row r="179" ht="23" customHeight="1">
      <c r="A179" s="14" t="n"/>
      <c r="B179" s="15" t="n"/>
      <c r="C179" s="15" t="n"/>
      <c r="D179" s="15" t="n"/>
      <c r="E179" s="15" t="n"/>
      <c r="F179" s="14" t="n"/>
      <c r="G179" s="15" t="n"/>
      <c r="H179" s="15" t="n"/>
      <c r="I179" s="16" t="n"/>
      <c r="J179" s="16" t="n"/>
      <c r="K179" s="12">
        <f>IF(A179="","",SUMIF(Sales!$C$2:$C$501,A179,Sales!$E$2:$E$501))</f>
        <v/>
      </c>
      <c r="L179" s="12">
        <f>IF(A179="","",H179-K179)</f>
        <v/>
      </c>
      <c r="M179" s="13">
        <f>IF(A179="","",ROUND(L179*I179,2))</f>
        <v/>
      </c>
      <c r="N179" s="13">
        <f>IF(A179="","",ROUND(L179*J179,2))</f>
        <v/>
      </c>
      <c r="O179" s="15" t="n"/>
      <c r="P179" s="12">
        <f>IF(A179="","",IF(COUNTIF($A$2:$A$501,A179)&gt;1,"Duplicate lot ID",IF(OR(B179="",H179="",I179="",J179=""),"Complete required fields",IF(L179&lt;0,"OVER SOLD","OK"))))</f>
        <v/>
      </c>
    </row>
    <row r="180" ht="23" customHeight="1">
      <c r="A180" s="9" t="n"/>
      <c r="B180" s="10" t="n"/>
      <c r="C180" s="10" t="n"/>
      <c r="D180" s="10" t="n"/>
      <c r="E180" s="10" t="n"/>
      <c r="F180" s="9" t="n"/>
      <c r="G180" s="10" t="n"/>
      <c r="H180" s="10" t="n"/>
      <c r="I180" s="11" t="n"/>
      <c r="J180" s="11" t="n"/>
      <c r="K180" s="12">
        <f>IF(A180="","",SUMIF(Sales!$C$2:$C$501,A180,Sales!$E$2:$E$501))</f>
        <v/>
      </c>
      <c r="L180" s="12">
        <f>IF(A180="","",H180-K180)</f>
        <v/>
      </c>
      <c r="M180" s="13">
        <f>IF(A180="","",ROUND(L180*I180,2))</f>
        <v/>
      </c>
      <c r="N180" s="13">
        <f>IF(A180="","",ROUND(L180*J180,2))</f>
        <v/>
      </c>
      <c r="O180" s="10" t="n"/>
      <c r="P180" s="12">
        <f>IF(A180="","",IF(COUNTIF($A$2:$A$501,A180)&gt;1,"Duplicate lot ID",IF(OR(B180="",H180="",I180="",J180=""),"Complete required fields",IF(L180&lt;0,"OVER SOLD","OK"))))</f>
        <v/>
      </c>
    </row>
    <row r="181" ht="23" customHeight="1">
      <c r="A181" s="14" t="n"/>
      <c r="B181" s="15" t="n"/>
      <c r="C181" s="15" t="n"/>
      <c r="D181" s="15" t="n"/>
      <c r="E181" s="15" t="n"/>
      <c r="F181" s="14" t="n"/>
      <c r="G181" s="15" t="n"/>
      <c r="H181" s="15" t="n"/>
      <c r="I181" s="16" t="n"/>
      <c r="J181" s="16" t="n"/>
      <c r="K181" s="12">
        <f>IF(A181="","",SUMIF(Sales!$C$2:$C$501,A181,Sales!$E$2:$E$501))</f>
        <v/>
      </c>
      <c r="L181" s="12">
        <f>IF(A181="","",H181-K181)</f>
        <v/>
      </c>
      <c r="M181" s="13">
        <f>IF(A181="","",ROUND(L181*I181,2))</f>
        <v/>
      </c>
      <c r="N181" s="13">
        <f>IF(A181="","",ROUND(L181*J181,2))</f>
        <v/>
      </c>
      <c r="O181" s="15" t="n"/>
      <c r="P181" s="12">
        <f>IF(A181="","",IF(COUNTIF($A$2:$A$501,A181)&gt;1,"Duplicate lot ID",IF(OR(B181="",H181="",I181="",J181=""),"Complete required fields",IF(L181&lt;0,"OVER SOLD","OK"))))</f>
        <v/>
      </c>
    </row>
    <row r="182" ht="23" customHeight="1">
      <c r="A182" s="9" t="n"/>
      <c r="B182" s="10" t="n"/>
      <c r="C182" s="10" t="n"/>
      <c r="D182" s="10" t="n"/>
      <c r="E182" s="10" t="n"/>
      <c r="F182" s="9" t="n"/>
      <c r="G182" s="10" t="n"/>
      <c r="H182" s="10" t="n"/>
      <c r="I182" s="11" t="n"/>
      <c r="J182" s="11" t="n"/>
      <c r="K182" s="12">
        <f>IF(A182="","",SUMIF(Sales!$C$2:$C$501,A182,Sales!$E$2:$E$501))</f>
        <v/>
      </c>
      <c r="L182" s="12">
        <f>IF(A182="","",H182-K182)</f>
        <v/>
      </c>
      <c r="M182" s="13">
        <f>IF(A182="","",ROUND(L182*I182,2))</f>
        <v/>
      </c>
      <c r="N182" s="13">
        <f>IF(A182="","",ROUND(L182*J182,2))</f>
        <v/>
      </c>
      <c r="O182" s="10" t="n"/>
      <c r="P182" s="12">
        <f>IF(A182="","",IF(COUNTIF($A$2:$A$501,A182)&gt;1,"Duplicate lot ID",IF(OR(B182="",H182="",I182="",J182=""),"Complete required fields",IF(L182&lt;0,"OVER SOLD","OK"))))</f>
        <v/>
      </c>
    </row>
    <row r="183" ht="23" customHeight="1">
      <c r="A183" s="14" t="n"/>
      <c r="B183" s="15" t="n"/>
      <c r="C183" s="15" t="n"/>
      <c r="D183" s="15" t="n"/>
      <c r="E183" s="15" t="n"/>
      <c r="F183" s="14" t="n"/>
      <c r="G183" s="15" t="n"/>
      <c r="H183" s="15" t="n"/>
      <c r="I183" s="16" t="n"/>
      <c r="J183" s="16" t="n"/>
      <c r="K183" s="12">
        <f>IF(A183="","",SUMIF(Sales!$C$2:$C$501,A183,Sales!$E$2:$E$501))</f>
        <v/>
      </c>
      <c r="L183" s="12">
        <f>IF(A183="","",H183-K183)</f>
        <v/>
      </c>
      <c r="M183" s="13">
        <f>IF(A183="","",ROUND(L183*I183,2))</f>
        <v/>
      </c>
      <c r="N183" s="13">
        <f>IF(A183="","",ROUND(L183*J183,2))</f>
        <v/>
      </c>
      <c r="O183" s="15" t="n"/>
      <c r="P183" s="12">
        <f>IF(A183="","",IF(COUNTIF($A$2:$A$501,A183)&gt;1,"Duplicate lot ID",IF(OR(B183="",H183="",I183="",J183=""),"Complete required fields",IF(L183&lt;0,"OVER SOLD","OK"))))</f>
        <v/>
      </c>
    </row>
    <row r="184" ht="23" customHeight="1">
      <c r="A184" s="9" t="n"/>
      <c r="B184" s="10" t="n"/>
      <c r="C184" s="10" t="n"/>
      <c r="D184" s="10" t="n"/>
      <c r="E184" s="10" t="n"/>
      <c r="F184" s="9" t="n"/>
      <c r="G184" s="10" t="n"/>
      <c r="H184" s="10" t="n"/>
      <c r="I184" s="11" t="n"/>
      <c r="J184" s="11" t="n"/>
      <c r="K184" s="12">
        <f>IF(A184="","",SUMIF(Sales!$C$2:$C$501,A184,Sales!$E$2:$E$501))</f>
        <v/>
      </c>
      <c r="L184" s="12">
        <f>IF(A184="","",H184-K184)</f>
        <v/>
      </c>
      <c r="M184" s="13">
        <f>IF(A184="","",ROUND(L184*I184,2))</f>
        <v/>
      </c>
      <c r="N184" s="13">
        <f>IF(A184="","",ROUND(L184*J184,2))</f>
        <v/>
      </c>
      <c r="O184" s="10" t="n"/>
      <c r="P184" s="12">
        <f>IF(A184="","",IF(COUNTIF($A$2:$A$501,A184)&gt;1,"Duplicate lot ID",IF(OR(B184="",H184="",I184="",J184=""),"Complete required fields",IF(L184&lt;0,"OVER SOLD","OK"))))</f>
        <v/>
      </c>
    </row>
    <row r="185" ht="23" customHeight="1">
      <c r="A185" s="14" t="n"/>
      <c r="B185" s="15" t="n"/>
      <c r="C185" s="15" t="n"/>
      <c r="D185" s="15" t="n"/>
      <c r="E185" s="15" t="n"/>
      <c r="F185" s="14" t="n"/>
      <c r="G185" s="15" t="n"/>
      <c r="H185" s="15" t="n"/>
      <c r="I185" s="16" t="n"/>
      <c r="J185" s="16" t="n"/>
      <c r="K185" s="12">
        <f>IF(A185="","",SUMIF(Sales!$C$2:$C$501,A185,Sales!$E$2:$E$501))</f>
        <v/>
      </c>
      <c r="L185" s="12">
        <f>IF(A185="","",H185-K185)</f>
        <v/>
      </c>
      <c r="M185" s="13">
        <f>IF(A185="","",ROUND(L185*I185,2))</f>
        <v/>
      </c>
      <c r="N185" s="13">
        <f>IF(A185="","",ROUND(L185*J185,2))</f>
        <v/>
      </c>
      <c r="O185" s="15" t="n"/>
      <c r="P185" s="12">
        <f>IF(A185="","",IF(COUNTIF($A$2:$A$501,A185)&gt;1,"Duplicate lot ID",IF(OR(B185="",H185="",I185="",J185=""),"Complete required fields",IF(L185&lt;0,"OVER SOLD","OK"))))</f>
        <v/>
      </c>
    </row>
    <row r="186" ht="23" customHeight="1">
      <c r="A186" s="9" t="n"/>
      <c r="B186" s="10" t="n"/>
      <c r="C186" s="10" t="n"/>
      <c r="D186" s="10" t="n"/>
      <c r="E186" s="10" t="n"/>
      <c r="F186" s="9" t="n"/>
      <c r="G186" s="10" t="n"/>
      <c r="H186" s="10" t="n"/>
      <c r="I186" s="11" t="n"/>
      <c r="J186" s="11" t="n"/>
      <c r="K186" s="12">
        <f>IF(A186="","",SUMIF(Sales!$C$2:$C$501,A186,Sales!$E$2:$E$501))</f>
        <v/>
      </c>
      <c r="L186" s="12">
        <f>IF(A186="","",H186-K186)</f>
        <v/>
      </c>
      <c r="M186" s="13">
        <f>IF(A186="","",ROUND(L186*I186,2))</f>
        <v/>
      </c>
      <c r="N186" s="13">
        <f>IF(A186="","",ROUND(L186*J186,2))</f>
        <v/>
      </c>
      <c r="O186" s="10" t="n"/>
      <c r="P186" s="12">
        <f>IF(A186="","",IF(COUNTIF($A$2:$A$501,A186)&gt;1,"Duplicate lot ID",IF(OR(B186="",H186="",I186="",J186=""),"Complete required fields",IF(L186&lt;0,"OVER SOLD","OK"))))</f>
        <v/>
      </c>
    </row>
    <row r="187" ht="23" customHeight="1">
      <c r="A187" s="14" t="n"/>
      <c r="B187" s="15" t="n"/>
      <c r="C187" s="15" t="n"/>
      <c r="D187" s="15" t="n"/>
      <c r="E187" s="15" t="n"/>
      <c r="F187" s="14" t="n"/>
      <c r="G187" s="15" t="n"/>
      <c r="H187" s="15" t="n"/>
      <c r="I187" s="16" t="n"/>
      <c r="J187" s="16" t="n"/>
      <c r="K187" s="12">
        <f>IF(A187="","",SUMIF(Sales!$C$2:$C$501,A187,Sales!$E$2:$E$501))</f>
        <v/>
      </c>
      <c r="L187" s="12">
        <f>IF(A187="","",H187-K187)</f>
        <v/>
      </c>
      <c r="M187" s="13">
        <f>IF(A187="","",ROUND(L187*I187,2))</f>
        <v/>
      </c>
      <c r="N187" s="13">
        <f>IF(A187="","",ROUND(L187*J187,2))</f>
        <v/>
      </c>
      <c r="O187" s="15" t="n"/>
      <c r="P187" s="12">
        <f>IF(A187="","",IF(COUNTIF($A$2:$A$501,A187)&gt;1,"Duplicate lot ID",IF(OR(B187="",H187="",I187="",J187=""),"Complete required fields",IF(L187&lt;0,"OVER SOLD","OK"))))</f>
        <v/>
      </c>
    </row>
    <row r="188" ht="23" customHeight="1">
      <c r="A188" s="9" t="n"/>
      <c r="B188" s="10" t="n"/>
      <c r="C188" s="10" t="n"/>
      <c r="D188" s="10" t="n"/>
      <c r="E188" s="10" t="n"/>
      <c r="F188" s="9" t="n"/>
      <c r="G188" s="10" t="n"/>
      <c r="H188" s="10" t="n"/>
      <c r="I188" s="11" t="n"/>
      <c r="J188" s="11" t="n"/>
      <c r="K188" s="12">
        <f>IF(A188="","",SUMIF(Sales!$C$2:$C$501,A188,Sales!$E$2:$E$501))</f>
        <v/>
      </c>
      <c r="L188" s="12">
        <f>IF(A188="","",H188-K188)</f>
        <v/>
      </c>
      <c r="M188" s="13">
        <f>IF(A188="","",ROUND(L188*I188,2))</f>
        <v/>
      </c>
      <c r="N188" s="13">
        <f>IF(A188="","",ROUND(L188*J188,2))</f>
        <v/>
      </c>
      <c r="O188" s="10" t="n"/>
      <c r="P188" s="12">
        <f>IF(A188="","",IF(COUNTIF($A$2:$A$501,A188)&gt;1,"Duplicate lot ID",IF(OR(B188="",H188="",I188="",J188=""),"Complete required fields",IF(L188&lt;0,"OVER SOLD","OK"))))</f>
        <v/>
      </c>
    </row>
    <row r="189" ht="23" customHeight="1">
      <c r="A189" s="14" t="n"/>
      <c r="B189" s="15" t="n"/>
      <c r="C189" s="15" t="n"/>
      <c r="D189" s="15" t="n"/>
      <c r="E189" s="15" t="n"/>
      <c r="F189" s="14" t="n"/>
      <c r="G189" s="15" t="n"/>
      <c r="H189" s="15" t="n"/>
      <c r="I189" s="16" t="n"/>
      <c r="J189" s="16" t="n"/>
      <c r="K189" s="12">
        <f>IF(A189="","",SUMIF(Sales!$C$2:$C$501,A189,Sales!$E$2:$E$501))</f>
        <v/>
      </c>
      <c r="L189" s="12">
        <f>IF(A189="","",H189-K189)</f>
        <v/>
      </c>
      <c r="M189" s="13">
        <f>IF(A189="","",ROUND(L189*I189,2))</f>
        <v/>
      </c>
      <c r="N189" s="13">
        <f>IF(A189="","",ROUND(L189*J189,2))</f>
        <v/>
      </c>
      <c r="O189" s="15" t="n"/>
      <c r="P189" s="12">
        <f>IF(A189="","",IF(COUNTIF($A$2:$A$501,A189)&gt;1,"Duplicate lot ID",IF(OR(B189="",H189="",I189="",J189=""),"Complete required fields",IF(L189&lt;0,"OVER SOLD","OK"))))</f>
        <v/>
      </c>
    </row>
    <row r="190" ht="23" customHeight="1">
      <c r="A190" s="9" t="n"/>
      <c r="B190" s="10" t="n"/>
      <c r="C190" s="10" t="n"/>
      <c r="D190" s="10" t="n"/>
      <c r="E190" s="10" t="n"/>
      <c r="F190" s="9" t="n"/>
      <c r="G190" s="10" t="n"/>
      <c r="H190" s="10" t="n"/>
      <c r="I190" s="11" t="n"/>
      <c r="J190" s="11" t="n"/>
      <c r="K190" s="12">
        <f>IF(A190="","",SUMIF(Sales!$C$2:$C$501,A190,Sales!$E$2:$E$501))</f>
        <v/>
      </c>
      <c r="L190" s="12">
        <f>IF(A190="","",H190-K190)</f>
        <v/>
      </c>
      <c r="M190" s="13">
        <f>IF(A190="","",ROUND(L190*I190,2))</f>
        <v/>
      </c>
      <c r="N190" s="13">
        <f>IF(A190="","",ROUND(L190*J190,2))</f>
        <v/>
      </c>
      <c r="O190" s="10" t="n"/>
      <c r="P190" s="12">
        <f>IF(A190="","",IF(COUNTIF($A$2:$A$501,A190)&gt;1,"Duplicate lot ID",IF(OR(B190="",H190="",I190="",J190=""),"Complete required fields",IF(L190&lt;0,"OVER SOLD","OK"))))</f>
        <v/>
      </c>
    </row>
    <row r="191" ht="23" customHeight="1">
      <c r="A191" s="14" t="n"/>
      <c r="B191" s="15" t="n"/>
      <c r="C191" s="15" t="n"/>
      <c r="D191" s="15" t="n"/>
      <c r="E191" s="15" t="n"/>
      <c r="F191" s="14" t="n"/>
      <c r="G191" s="15" t="n"/>
      <c r="H191" s="15" t="n"/>
      <c r="I191" s="16" t="n"/>
      <c r="J191" s="16" t="n"/>
      <c r="K191" s="12">
        <f>IF(A191="","",SUMIF(Sales!$C$2:$C$501,A191,Sales!$E$2:$E$501))</f>
        <v/>
      </c>
      <c r="L191" s="12">
        <f>IF(A191="","",H191-K191)</f>
        <v/>
      </c>
      <c r="M191" s="13">
        <f>IF(A191="","",ROUND(L191*I191,2))</f>
        <v/>
      </c>
      <c r="N191" s="13">
        <f>IF(A191="","",ROUND(L191*J191,2))</f>
        <v/>
      </c>
      <c r="O191" s="15" t="n"/>
      <c r="P191" s="12">
        <f>IF(A191="","",IF(COUNTIF($A$2:$A$501,A191)&gt;1,"Duplicate lot ID",IF(OR(B191="",H191="",I191="",J191=""),"Complete required fields",IF(L191&lt;0,"OVER SOLD","OK"))))</f>
        <v/>
      </c>
    </row>
    <row r="192" ht="23" customHeight="1">
      <c r="A192" s="9" t="n"/>
      <c r="B192" s="10" t="n"/>
      <c r="C192" s="10" t="n"/>
      <c r="D192" s="10" t="n"/>
      <c r="E192" s="10" t="n"/>
      <c r="F192" s="9" t="n"/>
      <c r="G192" s="10" t="n"/>
      <c r="H192" s="10" t="n"/>
      <c r="I192" s="11" t="n"/>
      <c r="J192" s="11" t="n"/>
      <c r="K192" s="12">
        <f>IF(A192="","",SUMIF(Sales!$C$2:$C$501,A192,Sales!$E$2:$E$501))</f>
        <v/>
      </c>
      <c r="L192" s="12">
        <f>IF(A192="","",H192-K192)</f>
        <v/>
      </c>
      <c r="M192" s="13">
        <f>IF(A192="","",ROUND(L192*I192,2))</f>
        <v/>
      </c>
      <c r="N192" s="13">
        <f>IF(A192="","",ROUND(L192*J192,2))</f>
        <v/>
      </c>
      <c r="O192" s="10" t="n"/>
      <c r="P192" s="12">
        <f>IF(A192="","",IF(COUNTIF($A$2:$A$501,A192)&gt;1,"Duplicate lot ID",IF(OR(B192="",H192="",I192="",J192=""),"Complete required fields",IF(L192&lt;0,"OVER SOLD","OK"))))</f>
        <v/>
      </c>
    </row>
    <row r="193" ht="23" customHeight="1">
      <c r="A193" s="14" t="n"/>
      <c r="B193" s="15" t="n"/>
      <c r="C193" s="15" t="n"/>
      <c r="D193" s="15" t="n"/>
      <c r="E193" s="15" t="n"/>
      <c r="F193" s="14" t="n"/>
      <c r="G193" s="15" t="n"/>
      <c r="H193" s="15" t="n"/>
      <c r="I193" s="16" t="n"/>
      <c r="J193" s="16" t="n"/>
      <c r="K193" s="12">
        <f>IF(A193="","",SUMIF(Sales!$C$2:$C$501,A193,Sales!$E$2:$E$501))</f>
        <v/>
      </c>
      <c r="L193" s="12">
        <f>IF(A193="","",H193-K193)</f>
        <v/>
      </c>
      <c r="M193" s="13">
        <f>IF(A193="","",ROUND(L193*I193,2))</f>
        <v/>
      </c>
      <c r="N193" s="13">
        <f>IF(A193="","",ROUND(L193*J193,2))</f>
        <v/>
      </c>
      <c r="O193" s="15" t="n"/>
      <c r="P193" s="12">
        <f>IF(A193="","",IF(COUNTIF($A$2:$A$501,A193)&gt;1,"Duplicate lot ID",IF(OR(B193="",H193="",I193="",J193=""),"Complete required fields",IF(L193&lt;0,"OVER SOLD","OK"))))</f>
        <v/>
      </c>
    </row>
    <row r="194" ht="23" customHeight="1">
      <c r="A194" s="9" t="n"/>
      <c r="B194" s="10" t="n"/>
      <c r="C194" s="10" t="n"/>
      <c r="D194" s="10" t="n"/>
      <c r="E194" s="10" t="n"/>
      <c r="F194" s="9" t="n"/>
      <c r="G194" s="10" t="n"/>
      <c r="H194" s="10" t="n"/>
      <c r="I194" s="11" t="n"/>
      <c r="J194" s="11" t="n"/>
      <c r="K194" s="12">
        <f>IF(A194="","",SUMIF(Sales!$C$2:$C$501,A194,Sales!$E$2:$E$501))</f>
        <v/>
      </c>
      <c r="L194" s="12">
        <f>IF(A194="","",H194-K194)</f>
        <v/>
      </c>
      <c r="M194" s="13">
        <f>IF(A194="","",ROUND(L194*I194,2))</f>
        <v/>
      </c>
      <c r="N194" s="13">
        <f>IF(A194="","",ROUND(L194*J194,2))</f>
        <v/>
      </c>
      <c r="O194" s="10" t="n"/>
      <c r="P194" s="12">
        <f>IF(A194="","",IF(COUNTIF($A$2:$A$501,A194)&gt;1,"Duplicate lot ID",IF(OR(B194="",H194="",I194="",J194=""),"Complete required fields",IF(L194&lt;0,"OVER SOLD","OK"))))</f>
        <v/>
      </c>
    </row>
    <row r="195" ht="23" customHeight="1">
      <c r="A195" s="14" t="n"/>
      <c r="B195" s="15" t="n"/>
      <c r="C195" s="15" t="n"/>
      <c r="D195" s="15" t="n"/>
      <c r="E195" s="15" t="n"/>
      <c r="F195" s="14" t="n"/>
      <c r="G195" s="15" t="n"/>
      <c r="H195" s="15" t="n"/>
      <c r="I195" s="16" t="n"/>
      <c r="J195" s="16" t="n"/>
      <c r="K195" s="12">
        <f>IF(A195="","",SUMIF(Sales!$C$2:$C$501,A195,Sales!$E$2:$E$501))</f>
        <v/>
      </c>
      <c r="L195" s="12">
        <f>IF(A195="","",H195-K195)</f>
        <v/>
      </c>
      <c r="M195" s="13">
        <f>IF(A195="","",ROUND(L195*I195,2))</f>
        <v/>
      </c>
      <c r="N195" s="13">
        <f>IF(A195="","",ROUND(L195*J195,2))</f>
        <v/>
      </c>
      <c r="O195" s="15" t="n"/>
      <c r="P195" s="12">
        <f>IF(A195="","",IF(COUNTIF($A$2:$A$501,A195)&gt;1,"Duplicate lot ID",IF(OR(B195="",H195="",I195="",J195=""),"Complete required fields",IF(L195&lt;0,"OVER SOLD","OK"))))</f>
        <v/>
      </c>
    </row>
    <row r="196" ht="23" customHeight="1">
      <c r="A196" s="9" t="n"/>
      <c r="B196" s="10" t="n"/>
      <c r="C196" s="10" t="n"/>
      <c r="D196" s="10" t="n"/>
      <c r="E196" s="10" t="n"/>
      <c r="F196" s="9" t="n"/>
      <c r="G196" s="10" t="n"/>
      <c r="H196" s="10" t="n"/>
      <c r="I196" s="11" t="n"/>
      <c r="J196" s="11" t="n"/>
      <c r="K196" s="12">
        <f>IF(A196="","",SUMIF(Sales!$C$2:$C$501,A196,Sales!$E$2:$E$501))</f>
        <v/>
      </c>
      <c r="L196" s="12">
        <f>IF(A196="","",H196-K196)</f>
        <v/>
      </c>
      <c r="M196" s="13">
        <f>IF(A196="","",ROUND(L196*I196,2))</f>
        <v/>
      </c>
      <c r="N196" s="13">
        <f>IF(A196="","",ROUND(L196*J196,2))</f>
        <v/>
      </c>
      <c r="O196" s="10" t="n"/>
      <c r="P196" s="12">
        <f>IF(A196="","",IF(COUNTIF($A$2:$A$501,A196)&gt;1,"Duplicate lot ID",IF(OR(B196="",H196="",I196="",J196=""),"Complete required fields",IF(L196&lt;0,"OVER SOLD","OK"))))</f>
        <v/>
      </c>
    </row>
    <row r="197" ht="23" customHeight="1">
      <c r="A197" s="14" t="n"/>
      <c r="B197" s="15" t="n"/>
      <c r="C197" s="15" t="n"/>
      <c r="D197" s="15" t="n"/>
      <c r="E197" s="15" t="n"/>
      <c r="F197" s="14" t="n"/>
      <c r="G197" s="15" t="n"/>
      <c r="H197" s="15" t="n"/>
      <c r="I197" s="16" t="n"/>
      <c r="J197" s="16" t="n"/>
      <c r="K197" s="12">
        <f>IF(A197="","",SUMIF(Sales!$C$2:$C$501,A197,Sales!$E$2:$E$501))</f>
        <v/>
      </c>
      <c r="L197" s="12">
        <f>IF(A197="","",H197-K197)</f>
        <v/>
      </c>
      <c r="M197" s="13">
        <f>IF(A197="","",ROUND(L197*I197,2))</f>
        <v/>
      </c>
      <c r="N197" s="13">
        <f>IF(A197="","",ROUND(L197*J197,2))</f>
        <v/>
      </c>
      <c r="O197" s="15" t="n"/>
      <c r="P197" s="12">
        <f>IF(A197="","",IF(COUNTIF($A$2:$A$501,A197)&gt;1,"Duplicate lot ID",IF(OR(B197="",H197="",I197="",J197=""),"Complete required fields",IF(L197&lt;0,"OVER SOLD","OK"))))</f>
        <v/>
      </c>
    </row>
    <row r="198" ht="23" customHeight="1">
      <c r="A198" s="9" t="n"/>
      <c r="B198" s="10" t="n"/>
      <c r="C198" s="10" t="n"/>
      <c r="D198" s="10" t="n"/>
      <c r="E198" s="10" t="n"/>
      <c r="F198" s="9" t="n"/>
      <c r="G198" s="10" t="n"/>
      <c r="H198" s="10" t="n"/>
      <c r="I198" s="11" t="n"/>
      <c r="J198" s="11" t="n"/>
      <c r="K198" s="12">
        <f>IF(A198="","",SUMIF(Sales!$C$2:$C$501,A198,Sales!$E$2:$E$501))</f>
        <v/>
      </c>
      <c r="L198" s="12">
        <f>IF(A198="","",H198-K198)</f>
        <v/>
      </c>
      <c r="M198" s="13">
        <f>IF(A198="","",ROUND(L198*I198,2))</f>
        <v/>
      </c>
      <c r="N198" s="13">
        <f>IF(A198="","",ROUND(L198*J198,2))</f>
        <v/>
      </c>
      <c r="O198" s="10" t="n"/>
      <c r="P198" s="12">
        <f>IF(A198="","",IF(COUNTIF($A$2:$A$501,A198)&gt;1,"Duplicate lot ID",IF(OR(B198="",H198="",I198="",J198=""),"Complete required fields",IF(L198&lt;0,"OVER SOLD","OK"))))</f>
        <v/>
      </c>
    </row>
    <row r="199" ht="23" customHeight="1">
      <c r="A199" s="14" t="n"/>
      <c r="B199" s="15" t="n"/>
      <c r="C199" s="15" t="n"/>
      <c r="D199" s="15" t="n"/>
      <c r="E199" s="15" t="n"/>
      <c r="F199" s="14" t="n"/>
      <c r="G199" s="15" t="n"/>
      <c r="H199" s="15" t="n"/>
      <c r="I199" s="16" t="n"/>
      <c r="J199" s="16" t="n"/>
      <c r="K199" s="12">
        <f>IF(A199="","",SUMIF(Sales!$C$2:$C$501,A199,Sales!$E$2:$E$501))</f>
        <v/>
      </c>
      <c r="L199" s="12">
        <f>IF(A199="","",H199-K199)</f>
        <v/>
      </c>
      <c r="M199" s="13">
        <f>IF(A199="","",ROUND(L199*I199,2))</f>
        <v/>
      </c>
      <c r="N199" s="13">
        <f>IF(A199="","",ROUND(L199*J199,2))</f>
        <v/>
      </c>
      <c r="O199" s="15" t="n"/>
      <c r="P199" s="12">
        <f>IF(A199="","",IF(COUNTIF($A$2:$A$501,A199)&gt;1,"Duplicate lot ID",IF(OR(B199="",H199="",I199="",J199=""),"Complete required fields",IF(L199&lt;0,"OVER SOLD","OK"))))</f>
        <v/>
      </c>
    </row>
    <row r="200" ht="23" customHeight="1">
      <c r="A200" s="9" t="n"/>
      <c r="B200" s="10" t="n"/>
      <c r="C200" s="10" t="n"/>
      <c r="D200" s="10" t="n"/>
      <c r="E200" s="10" t="n"/>
      <c r="F200" s="9" t="n"/>
      <c r="G200" s="10" t="n"/>
      <c r="H200" s="10" t="n"/>
      <c r="I200" s="11" t="n"/>
      <c r="J200" s="11" t="n"/>
      <c r="K200" s="12">
        <f>IF(A200="","",SUMIF(Sales!$C$2:$C$501,A200,Sales!$E$2:$E$501))</f>
        <v/>
      </c>
      <c r="L200" s="12">
        <f>IF(A200="","",H200-K200)</f>
        <v/>
      </c>
      <c r="M200" s="13">
        <f>IF(A200="","",ROUND(L200*I200,2))</f>
        <v/>
      </c>
      <c r="N200" s="13">
        <f>IF(A200="","",ROUND(L200*J200,2))</f>
        <v/>
      </c>
      <c r="O200" s="10" t="n"/>
      <c r="P200" s="12">
        <f>IF(A200="","",IF(COUNTIF($A$2:$A$501,A200)&gt;1,"Duplicate lot ID",IF(OR(B200="",H200="",I200="",J200=""),"Complete required fields",IF(L200&lt;0,"OVER SOLD","OK"))))</f>
        <v/>
      </c>
    </row>
    <row r="201" ht="23" customHeight="1">
      <c r="A201" s="14" t="n"/>
      <c r="B201" s="15" t="n"/>
      <c r="C201" s="15" t="n"/>
      <c r="D201" s="15" t="n"/>
      <c r="E201" s="15" t="n"/>
      <c r="F201" s="14" t="n"/>
      <c r="G201" s="15" t="n"/>
      <c r="H201" s="15" t="n"/>
      <c r="I201" s="16" t="n"/>
      <c r="J201" s="16" t="n"/>
      <c r="K201" s="12">
        <f>IF(A201="","",SUMIF(Sales!$C$2:$C$501,A201,Sales!$E$2:$E$501))</f>
        <v/>
      </c>
      <c r="L201" s="12">
        <f>IF(A201="","",H201-K201)</f>
        <v/>
      </c>
      <c r="M201" s="13">
        <f>IF(A201="","",ROUND(L201*I201,2))</f>
        <v/>
      </c>
      <c r="N201" s="13">
        <f>IF(A201="","",ROUND(L201*J201,2))</f>
        <v/>
      </c>
      <c r="O201" s="15" t="n"/>
      <c r="P201" s="12">
        <f>IF(A201="","",IF(COUNTIF($A$2:$A$501,A201)&gt;1,"Duplicate lot ID",IF(OR(B201="",H201="",I201="",J201=""),"Complete required fields",IF(L201&lt;0,"OVER SOLD","OK"))))</f>
        <v/>
      </c>
    </row>
    <row r="202" ht="23" customHeight="1">
      <c r="A202" s="9" t="n"/>
      <c r="B202" s="10" t="n"/>
      <c r="C202" s="10" t="n"/>
      <c r="D202" s="10" t="n"/>
      <c r="E202" s="10" t="n"/>
      <c r="F202" s="9" t="n"/>
      <c r="G202" s="10" t="n"/>
      <c r="H202" s="10" t="n"/>
      <c r="I202" s="11" t="n"/>
      <c r="J202" s="11" t="n"/>
      <c r="K202" s="12">
        <f>IF(A202="","",SUMIF(Sales!$C$2:$C$501,A202,Sales!$E$2:$E$501))</f>
        <v/>
      </c>
      <c r="L202" s="12">
        <f>IF(A202="","",H202-K202)</f>
        <v/>
      </c>
      <c r="M202" s="13">
        <f>IF(A202="","",ROUND(L202*I202,2))</f>
        <v/>
      </c>
      <c r="N202" s="13">
        <f>IF(A202="","",ROUND(L202*J202,2))</f>
        <v/>
      </c>
      <c r="O202" s="10" t="n"/>
      <c r="P202" s="12">
        <f>IF(A202="","",IF(COUNTIF($A$2:$A$501,A202)&gt;1,"Duplicate lot ID",IF(OR(B202="",H202="",I202="",J202=""),"Complete required fields",IF(L202&lt;0,"OVER SOLD","OK"))))</f>
        <v/>
      </c>
    </row>
    <row r="203" ht="23" customHeight="1">
      <c r="A203" s="14" t="n"/>
      <c r="B203" s="15" t="n"/>
      <c r="C203" s="15" t="n"/>
      <c r="D203" s="15" t="n"/>
      <c r="E203" s="15" t="n"/>
      <c r="F203" s="14" t="n"/>
      <c r="G203" s="15" t="n"/>
      <c r="H203" s="15" t="n"/>
      <c r="I203" s="16" t="n"/>
      <c r="J203" s="16" t="n"/>
      <c r="K203" s="12">
        <f>IF(A203="","",SUMIF(Sales!$C$2:$C$501,A203,Sales!$E$2:$E$501))</f>
        <v/>
      </c>
      <c r="L203" s="12">
        <f>IF(A203="","",H203-K203)</f>
        <v/>
      </c>
      <c r="M203" s="13">
        <f>IF(A203="","",ROUND(L203*I203,2))</f>
        <v/>
      </c>
      <c r="N203" s="13">
        <f>IF(A203="","",ROUND(L203*J203,2))</f>
        <v/>
      </c>
      <c r="O203" s="15" t="n"/>
      <c r="P203" s="12">
        <f>IF(A203="","",IF(COUNTIF($A$2:$A$501,A203)&gt;1,"Duplicate lot ID",IF(OR(B203="",H203="",I203="",J203=""),"Complete required fields",IF(L203&lt;0,"OVER SOLD","OK"))))</f>
        <v/>
      </c>
    </row>
    <row r="204" ht="23" customHeight="1">
      <c r="A204" s="9" t="n"/>
      <c r="B204" s="10" t="n"/>
      <c r="C204" s="10" t="n"/>
      <c r="D204" s="10" t="n"/>
      <c r="E204" s="10" t="n"/>
      <c r="F204" s="9" t="n"/>
      <c r="G204" s="10" t="n"/>
      <c r="H204" s="10" t="n"/>
      <c r="I204" s="11" t="n"/>
      <c r="J204" s="11" t="n"/>
      <c r="K204" s="12">
        <f>IF(A204="","",SUMIF(Sales!$C$2:$C$501,A204,Sales!$E$2:$E$501))</f>
        <v/>
      </c>
      <c r="L204" s="12">
        <f>IF(A204="","",H204-K204)</f>
        <v/>
      </c>
      <c r="M204" s="13">
        <f>IF(A204="","",ROUND(L204*I204,2))</f>
        <v/>
      </c>
      <c r="N204" s="13">
        <f>IF(A204="","",ROUND(L204*J204,2))</f>
        <v/>
      </c>
      <c r="O204" s="10" t="n"/>
      <c r="P204" s="12">
        <f>IF(A204="","",IF(COUNTIF($A$2:$A$501,A204)&gt;1,"Duplicate lot ID",IF(OR(B204="",H204="",I204="",J204=""),"Complete required fields",IF(L204&lt;0,"OVER SOLD","OK"))))</f>
        <v/>
      </c>
    </row>
    <row r="205" ht="23" customHeight="1">
      <c r="A205" s="14" t="n"/>
      <c r="B205" s="15" t="n"/>
      <c r="C205" s="15" t="n"/>
      <c r="D205" s="15" t="n"/>
      <c r="E205" s="15" t="n"/>
      <c r="F205" s="14" t="n"/>
      <c r="G205" s="15" t="n"/>
      <c r="H205" s="15" t="n"/>
      <c r="I205" s="16" t="n"/>
      <c r="J205" s="16" t="n"/>
      <c r="K205" s="12">
        <f>IF(A205="","",SUMIF(Sales!$C$2:$C$501,A205,Sales!$E$2:$E$501))</f>
        <v/>
      </c>
      <c r="L205" s="12">
        <f>IF(A205="","",H205-K205)</f>
        <v/>
      </c>
      <c r="M205" s="13">
        <f>IF(A205="","",ROUND(L205*I205,2))</f>
        <v/>
      </c>
      <c r="N205" s="13">
        <f>IF(A205="","",ROUND(L205*J205,2))</f>
        <v/>
      </c>
      <c r="O205" s="15" t="n"/>
      <c r="P205" s="12">
        <f>IF(A205="","",IF(COUNTIF($A$2:$A$501,A205)&gt;1,"Duplicate lot ID",IF(OR(B205="",H205="",I205="",J205=""),"Complete required fields",IF(L205&lt;0,"OVER SOLD","OK"))))</f>
        <v/>
      </c>
    </row>
    <row r="206" ht="23" customHeight="1">
      <c r="A206" s="9" t="n"/>
      <c r="B206" s="10" t="n"/>
      <c r="C206" s="10" t="n"/>
      <c r="D206" s="10" t="n"/>
      <c r="E206" s="10" t="n"/>
      <c r="F206" s="9" t="n"/>
      <c r="G206" s="10" t="n"/>
      <c r="H206" s="10" t="n"/>
      <c r="I206" s="11" t="n"/>
      <c r="J206" s="11" t="n"/>
      <c r="K206" s="12">
        <f>IF(A206="","",SUMIF(Sales!$C$2:$C$501,A206,Sales!$E$2:$E$501))</f>
        <v/>
      </c>
      <c r="L206" s="12">
        <f>IF(A206="","",H206-K206)</f>
        <v/>
      </c>
      <c r="M206" s="13">
        <f>IF(A206="","",ROUND(L206*I206,2))</f>
        <v/>
      </c>
      <c r="N206" s="13">
        <f>IF(A206="","",ROUND(L206*J206,2))</f>
        <v/>
      </c>
      <c r="O206" s="10" t="n"/>
      <c r="P206" s="12">
        <f>IF(A206="","",IF(COUNTIF($A$2:$A$501,A206)&gt;1,"Duplicate lot ID",IF(OR(B206="",H206="",I206="",J206=""),"Complete required fields",IF(L206&lt;0,"OVER SOLD","OK"))))</f>
        <v/>
      </c>
    </row>
    <row r="207" ht="23" customHeight="1">
      <c r="A207" s="14" t="n"/>
      <c r="B207" s="15" t="n"/>
      <c r="C207" s="15" t="n"/>
      <c r="D207" s="15" t="n"/>
      <c r="E207" s="15" t="n"/>
      <c r="F207" s="14" t="n"/>
      <c r="G207" s="15" t="n"/>
      <c r="H207" s="15" t="n"/>
      <c r="I207" s="16" t="n"/>
      <c r="J207" s="16" t="n"/>
      <c r="K207" s="12">
        <f>IF(A207="","",SUMIF(Sales!$C$2:$C$501,A207,Sales!$E$2:$E$501))</f>
        <v/>
      </c>
      <c r="L207" s="12">
        <f>IF(A207="","",H207-K207)</f>
        <v/>
      </c>
      <c r="M207" s="13">
        <f>IF(A207="","",ROUND(L207*I207,2))</f>
        <v/>
      </c>
      <c r="N207" s="13">
        <f>IF(A207="","",ROUND(L207*J207,2))</f>
        <v/>
      </c>
      <c r="O207" s="15" t="n"/>
      <c r="P207" s="12">
        <f>IF(A207="","",IF(COUNTIF($A$2:$A$501,A207)&gt;1,"Duplicate lot ID",IF(OR(B207="",H207="",I207="",J207=""),"Complete required fields",IF(L207&lt;0,"OVER SOLD","OK"))))</f>
        <v/>
      </c>
    </row>
    <row r="208" ht="23" customHeight="1">
      <c r="A208" s="9" t="n"/>
      <c r="B208" s="10" t="n"/>
      <c r="C208" s="10" t="n"/>
      <c r="D208" s="10" t="n"/>
      <c r="E208" s="10" t="n"/>
      <c r="F208" s="9" t="n"/>
      <c r="G208" s="10" t="n"/>
      <c r="H208" s="10" t="n"/>
      <c r="I208" s="11" t="n"/>
      <c r="J208" s="11" t="n"/>
      <c r="K208" s="12">
        <f>IF(A208="","",SUMIF(Sales!$C$2:$C$501,A208,Sales!$E$2:$E$501))</f>
        <v/>
      </c>
      <c r="L208" s="12">
        <f>IF(A208="","",H208-K208)</f>
        <v/>
      </c>
      <c r="M208" s="13">
        <f>IF(A208="","",ROUND(L208*I208,2))</f>
        <v/>
      </c>
      <c r="N208" s="13">
        <f>IF(A208="","",ROUND(L208*J208,2))</f>
        <v/>
      </c>
      <c r="O208" s="10" t="n"/>
      <c r="P208" s="12">
        <f>IF(A208="","",IF(COUNTIF($A$2:$A$501,A208)&gt;1,"Duplicate lot ID",IF(OR(B208="",H208="",I208="",J208=""),"Complete required fields",IF(L208&lt;0,"OVER SOLD","OK"))))</f>
        <v/>
      </c>
    </row>
    <row r="209" ht="23" customHeight="1">
      <c r="A209" s="14" t="n"/>
      <c r="B209" s="15" t="n"/>
      <c r="C209" s="15" t="n"/>
      <c r="D209" s="15" t="n"/>
      <c r="E209" s="15" t="n"/>
      <c r="F209" s="14" t="n"/>
      <c r="G209" s="15" t="n"/>
      <c r="H209" s="15" t="n"/>
      <c r="I209" s="16" t="n"/>
      <c r="J209" s="16" t="n"/>
      <c r="K209" s="12">
        <f>IF(A209="","",SUMIF(Sales!$C$2:$C$501,A209,Sales!$E$2:$E$501))</f>
        <v/>
      </c>
      <c r="L209" s="12">
        <f>IF(A209="","",H209-K209)</f>
        <v/>
      </c>
      <c r="M209" s="13">
        <f>IF(A209="","",ROUND(L209*I209,2))</f>
        <v/>
      </c>
      <c r="N209" s="13">
        <f>IF(A209="","",ROUND(L209*J209,2))</f>
        <v/>
      </c>
      <c r="O209" s="15" t="n"/>
      <c r="P209" s="12">
        <f>IF(A209="","",IF(COUNTIF($A$2:$A$501,A209)&gt;1,"Duplicate lot ID",IF(OR(B209="",H209="",I209="",J209=""),"Complete required fields",IF(L209&lt;0,"OVER SOLD","OK"))))</f>
        <v/>
      </c>
    </row>
    <row r="210" ht="23" customHeight="1">
      <c r="A210" s="9" t="n"/>
      <c r="B210" s="10" t="n"/>
      <c r="C210" s="10" t="n"/>
      <c r="D210" s="10" t="n"/>
      <c r="E210" s="10" t="n"/>
      <c r="F210" s="9" t="n"/>
      <c r="G210" s="10" t="n"/>
      <c r="H210" s="10" t="n"/>
      <c r="I210" s="11" t="n"/>
      <c r="J210" s="11" t="n"/>
      <c r="K210" s="12">
        <f>IF(A210="","",SUMIF(Sales!$C$2:$C$501,A210,Sales!$E$2:$E$501))</f>
        <v/>
      </c>
      <c r="L210" s="12">
        <f>IF(A210="","",H210-K210)</f>
        <v/>
      </c>
      <c r="M210" s="13">
        <f>IF(A210="","",ROUND(L210*I210,2))</f>
        <v/>
      </c>
      <c r="N210" s="13">
        <f>IF(A210="","",ROUND(L210*J210,2))</f>
        <v/>
      </c>
      <c r="O210" s="10" t="n"/>
      <c r="P210" s="12">
        <f>IF(A210="","",IF(COUNTIF($A$2:$A$501,A210)&gt;1,"Duplicate lot ID",IF(OR(B210="",H210="",I210="",J210=""),"Complete required fields",IF(L210&lt;0,"OVER SOLD","OK"))))</f>
        <v/>
      </c>
    </row>
    <row r="211" ht="23" customHeight="1">
      <c r="A211" s="14" t="n"/>
      <c r="B211" s="15" t="n"/>
      <c r="C211" s="15" t="n"/>
      <c r="D211" s="15" t="n"/>
      <c r="E211" s="15" t="n"/>
      <c r="F211" s="14" t="n"/>
      <c r="G211" s="15" t="n"/>
      <c r="H211" s="15" t="n"/>
      <c r="I211" s="16" t="n"/>
      <c r="J211" s="16" t="n"/>
      <c r="K211" s="12">
        <f>IF(A211="","",SUMIF(Sales!$C$2:$C$501,A211,Sales!$E$2:$E$501))</f>
        <v/>
      </c>
      <c r="L211" s="12">
        <f>IF(A211="","",H211-K211)</f>
        <v/>
      </c>
      <c r="M211" s="13">
        <f>IF(A211="","",ROUND(L211*I211,2))</f>
        <v/>
      </c>
      <c r="N211" s="13">
        <f>IF(A211="","",ROUND(L211*J211,2))</f>
        <v/>
      </c>
      <c r="O211" s="15" t="n"/>
      <c r="P211" s="12">
        <f>IF(A211="","",IF(COUNTIF($A$2:$A$501,A211)&gt;1,"Duplicate lot ID",IF(OR(B211="",H211="",I211="",J211=""),"Complete required fields",IF(L211&lt;0,"OVER SOLD","OK"))))</f>
        <v/>
      </c>
    </row>
    <row r="212" ht="23" customHeight="1">
      <c r="A212" s="9" t="n"/>
      <c r="B212" s="10" t="n"/>
      <c r="C212" s="10" t="n"/>
      <c r="D212" s="10" t="n"/>
      <c r="E212" s="10" t="n"/>
      <c r="F212" s="9" t="n"/>
      <c r="G212" s="10" t="n"/>
      <c r="H212" s="10" t="n"/>
      <c r="I212" s="11" t="n"/>
      <c r="J212" s="11" t="n"/>
      <c r="K212" s="12">
        <f>IF(A212="","",SUMIF(Sales!$C$2:$C$501,A212,Sales!$E$2:$E$501))</f>
        <v/>
      </c>
      <c r="L212" s="12">
        <f>IF(A212="","",H212-K212)</f>
        <v/>
      </c>
      <c r="M212" s="13">
        <f>IF(A212="","",ROUND(L212*I212,2))</f>
        <v/>
      </c>
      <c r="N212" s="13">
        <f>IF(A212="","",ROUND(L212*J212,2))</f>
        <v/>
      </c>
      <c r="O212" s="10" t="n"/>
      <c r="P212" s="12">
        <f>IF(A212="","",IF(COUNTIF($A$2:$A$501,A212)&gt;1,"Duplicate lot ID",IF(OR(B212="",H212="",I212="",J212=""),"Complete required fields",IF(L212&lt;0,"OVER SOLD","OK"))))</f>
        <v/>
      </c>
    </row>
    <row r="213" ht="23" customHeight="1">
      <c r="A213" s="14" t="n"/>
      <c r="B213" s="15" t="n"/>
      <c r="C213" s="15" t="n"/>
      <c r="D213" s="15" t="n"/>
      <c r="E213" s="15" t="n"/>
      <c r="F213" s="14" t="n"/>
      <c r="G213" s="15" t="n"/>
      <c r="H213" s="15" t="n"/>
      <c r="I213" s="16" t="n"/>
      <c r="J213" s="16" t="n"/>
      <c r="K213" s="12">
        <f>IF(A213="","",SUMIF(Sales!$C$2:$C$501,A213,Sales!$E$2:$E$501))</f>
        <v/>
      </c>
      <c r="L213" s="12">
        <f>IF(A213="","",H213-K213)</f>
        <v/>
      </c>
      <c r="M213" s="13">
        <f>IF(A213="","",ROUND(L213*I213,2))</f>
        <v/>
      </c>
      <c r="N213" s="13">
        <f>IF(A213="","",ROUND(L213*J213,2))</f>
        <v/>
      </c>
      <c r="O213" s="15" t="n"/>
      <c r="P213" s="12">
        <f>IF(A213="","",IF(COUNTIF($A$2:$A$501,A213)&gt;1,"Duplicate lot ID",IF(OR(B213="",H213="",I213="",J213=""),"Complete required fields",IF(L213&lt;0,"OVER SOLD","OK"))))</f>
        <v/>
      </c>
    </row>
    <row r="214" ht="23" customHeight="1">
      <c r="A214" s="9" t="n"/>
      <c r="B214" s="10" t="n"/>
      <c r="C214" s="10" t="n"/>
      <c r="D214" s="10" t="n"/>
      <c r="E214" s="10" t="n"/>
      <c r="F214" s="9" t="n"/>
      <c r="G214" s="10" t="n"/>
      <c r="H214" s="10" t="n"/>
      <c r="I214" s="11" t="n"/>
      <c r="J214" s="11" t="n"/>
      <c r="K214" s="12">
        <f>IF(A214="","",SUMIF(Sales!$C$2:$C$501,A214,Sales!$E$2:$E$501))</f>
        <v/>
      </c>
      <c r="L214" s="12">
        <f>IF(A214="","",H214-K214)</f>
        <v/>
      </c>
      <c r="M214" s="13">
        <f>IF(A214="","",ROUND(L214*I214,2))</f>
        <v/>
      </c>
      <c r="N214" s="13">
        <f>IF(A214="","",ROUND(L214*J214,2))</f>
        <v/>
      </c>
      <c r="O214" s="10" t="n"/>
      <c r="P214" s="12">
        <f>IF(A214="","",IF(COUNTIF($A$2:$A$501,A214)&gt;1,"Duplicate lot ID",IF(OR(B214="",H214="",I214="",J214=""),"Complete required fields",IF(L214&lt;0,"OVER SOLD","OK"))))</f>
        <v/>
      </c>
    </row>
    <row r="215" ht="23" customHeight="1">
      <c r="A215" s="14" t="n"/>
      <c r="B215" s="15" t="n"/>
      <c r="C215" s="15" t="n"/>
      <c r="D215" s="15" t="n"/>
      <c r="E215" s="15" t="n"/>
      <c r="F215" s="14" t="n"/>
      <c r="G215" s="15" t="n"/>
      <c r="H215" s="15" t="n"/>
      <c r="I215" s="16" t="n"/>
      <c r="J215" s="16" t="n"/>
      <c r="K215" s="12">
        <f>IF(A215="","",SUMIF(Sales!$C$2:$C$501,A215,Sales!$E$2:$E$501))</f>
        <v/>
      </c>
      <c r="L215" s="12">
        <f>IF(A215="","",H215-K215)</f>
        <v/>
      </c>
      <c r="M215" s="13">
        <f>IF(A215="","",ROUND(L215*I215,2))</f>
        <v/>
      </c>
      <c r="N215" s="13">
        <f>IF(A215="","",ROUND(L215*J215,2))</f>
        <v/>
      </c>
      <c r="O215" s="15" t="n"/>
      <c r="P215" s="12">
        <f>IF(A215="","",IF(COUNTIF($A$2:$A$501,A215)&gt;1,"Duplicate lot ID",IF(OR(B215="",H215="",I215="",J215=""),"Complete required fields",IF(L215&lt;0,"OVER SOLD","OK"))))</f>
        <v/>
      </c>
    </row>
    <row r="216" ht="23" customHeight="1">
      <c r="A216" s="9" t="n"/>
      <c r="B216" s="10" t="n"/>
      <c r="C216" s="10" t="n"/>
      <c r="D216" s="10" t="n"/>
      <c r="E216" s="10" t="n"/>
      <c r="F216" s="9" t="n"/>
      <c r="G216" s="10" t="n"/>
      <c r="H216" s="10" t="n"/>
      <c r="I216" s="11" t="n"/>
      <c r="J216" s="11" t="n"/>
      <c r="K216" s="12">
        <f>IF(A216="","",SUMIF(Sales!$C$2:$C$501,A216,Sales!$E$2:$E$501))</f>
        <v/>
      </c>
      <c r="L216" s="12">
        <f>IF(A216="","",H216-K216)</f>
        <v/>
      </c>
      <c r="M216" s="13">
        <f>IF(A216="","",ROUND(L216*I216,2))</f>
        <v/>
      </c>
      <c r="N216" s="13">
        <f>IF(A216="","",ROUND(L216*J216,2))</f>
        <v/>
      </c>
      <c r="O216" s="10" t="n"/>
      <c r="P216" s="12">
        <f>IF(A216="","",IF(COUNTIF($A$2:$A$501,A216)&gt;1,"Duplicate lot ID",IF(OR(B216="",H216="",I216="",J216=""),"Complete required fields",IF(L216&lt;0,"OVER SOLD","OK"))))</f>
        <v/>
      </c>
    </row>
    <row r="217" ht="23" customHeight="1">
      <c r="A217" s="14" t="n"/>
      <c r="B217" s="15" t="n"/>
      <c r="C217" s="15" t="n"/>
      <c r="D217" s="15" t="n"/>
      <c r="E217" s="15" t="n"/>
      <c r="F217" s="14" t="n"/>
      <c r="G217" s="15" t="n"/>
      <c r="H217" s="15" t="n"/>
      <c r="I217" s="16" t="n"/>
      <c r="J217" s="16" t="n"/>
      <c r="K217" s="12">
        <f>IF(A217="","",SUMIF(Sales!$C$2:$C$501,A217,Sales!$E$2:$E$501))</f>
        <v/>
      </c>
      <c r="L217" s="12">
        <f>IF(A217="","",H217-K217)</f>
        <v/>
      </c>
      <c r="M217" s="13">
        <f>IF(A217="","",ROUND(L217*I217,2))</f>
        <v/>
      </c>
      <c r="N217" s="13">
        <f>IF(A217="","",ROUND(L217*J217,2))</f>
        <v/>
      </c>
      <c r="O217" s="15" t="n"/>
      <c r="P217" s="12">
        <f>IF(A217="","",IF(COUNTIF($A$2:$A$501,A217)&gt;1,"Duplicate lot ID",IF(OR(B217="",H217="",I217="",J217=""),"Complete required fields",IF(L217&lt;0,"OVER SOLD","OK"))))</f>
        <v/>
      </c>
    </row>
    <row r="218" ht="23" customHeight="1">
      <c r="A218" s="9" t="n"/>
      <c r="B218" s="10" t="n"/>
      <c r="C218" s="10" t="n"/>
      <c r="D218" s="10" t="n"/>
      <c r="E218" s="10" t="n"/>
      <c r="F218" s="9" t="n"/>
      <c r="G218" s="10" t="n"/>
      <c r="H218" s="10" t="n"/>
      <c r="I218" s="11" t="n"/>
      <c r="J218" s="11" t="n"/>
      <c r="K218" s="12">
        <f>IF(A218="","",SUMIF(Sales!$C$2:$C$501,A218,Sales!$E$2:$E$501))</f>
        <v/>
      </c>
      <c r="L218" s="12">
        <f>IF(A218="","",H218-K218)</f>
        <v/>
      </c>
      <c r="M218" s="13">
        <f>IF(A218="","",ROUND(L218*I218,2))</f>
        <v/>
      </c>
      <c r="N218" s="13">
        <f>IF(A218="","",ROUND(L218*J218,2))</f>
        <v/>
      </c>
      <c r="O218" s="10" t="n"/>
      <c r="P218" s="12">
        <f>IF(A218="","",IF(COUNTIF($A$2:$A$501,A218)&gt;1,"Duplicate lot ID",IF(OR(B218="",H218="",I218="",J218=""),"Complete required fields",IF(L218&lt;0,"OVER SOLD","OK"))))</f>
        <v/>
      </c>
    </row>
    <row r="219" ht="23" customHeight="1">
      <c r="A219" s="14" t="n"/>
      <c r="B219" s="15" t="n"/>
      <c r="C219" s="15" t="n"/>
      <c r="D219" s="15" t="n"/>
      <c r="E219" s="15" t="n"/>
      <c r="F219" s="14" t="n"/>
      <c r="G219" s="15" t="n"/>
      <c r="H219" s="15" t="n"/>
      <c r="I219" s="16" t="n"/>
      <c r="J219" s="16" t="n"/>
      <c r="K219" s="12">
        <f>IF(A219="","",SUMIF(Sales!$C$2:$C$501,A219,Sales!$E$2:$E$501))</f>
        <v/>
      </c>
      <c r="L219" s="12">
        <f>IF(A219="","",H219-K219)</f>
        <v/>
      </c>
      <c r="M219" s="13">
        <f>IF(A219="","",ROUND(L219*I219,2))</f>
        <v/>
      </c>
      <c r="N219" s="13">
        <f>IF(A219="","",ROUND(L219*J219,2))</f>
        <v/>
      </c>
      <c r="O219" s="15" t="n"/>
      <c r="P219" s="12">
        <f>IF(A219="","",IF(COUNTIF($A$2:$A$501,A219)&gt;1,"Duplicate lot ID",IF(OR(B219="",H219="",I219="",J219=""),"Complete required fields",IF(L219&lt;0,"OVER SOLD","OK"))))</f>
        <v/>
      </c>
    </row>
    <row r="220" ht="23" customHeight="1">
      <c r="A220" s="9" t="n"/>
      <c r="B220" s="10" t="n"/>
      <c r="C220" s="10" t="n"/>
      <c r="D220" s="10" t="n"/>
      <c r="E220" s="10" t="n"/>
      <c r="F220" s="9" t="n"/>
      <c r="G220" s="10" t="n"/>
      <c r="H220" s="10" t="n"/>
      <c r="I220" s="11" t="n"/>
      <c r="J220" s="11" t="n"/>
      <c r="K220" s="12">
        <f>IF(A220="","",SUMIF(Sales!$C$2:$C$501,A220,Sales!$E$2:$E$501))</f>
        <v/>
      </c>
      <c r="L220" s="12">
        <f>IF(A220="","",H220-K220)</f>
        <v/>
      </c>
      <c r="M220" s="13">
        <f>IF(A220="","",ROUND(L220*I220,2))</f>
        <v/>
      </c>
      <c r="N220" s="13">
        <f>IF(A220="","",ROUND(L220*J220,2))</f>
        <v/>
      </c>
      <c r="O220" s="10" t="n"/>
      <c r="P220" s="12">
        <f>IF(A220="","",IF(COUNTIF($A$2:$A$501,A220)&gt;1,"Duplicate lot ID",IF(OR(B220="",H220="",I220="",J220=""),"Complete required fields",IF(L220&lt;0,"OVER SOLD","OK"))))</f>
        <v/>
      </c>
    </row>
    <row r="221" ht="23" customHeight="1">
      <c r="A221" s="14" t="n"/>
      <c r="B221" s="15" t="n"/>
      <c r="C221" s="15" t="n"/>
      <c r="D221" s="15" t="n"/>
      <c r="E221" s="15" t="n"/>
      <c r="F221" s="14" t="n"/>
      <c r="G221" s="15" t="n"/>
      <c r="H221" s="15" t="n"/>
      <c r="I221" s="16" t="n"/>
      <c r="J221" s="16" t="n"/>
      <c r="K221" s="12">
        <f>IF(A221="","",SUMIF(Sales!$C$2:$C$501,A221,Sales!$E$2:$E$501))</f>
        <v/>
      </c>
      <c r="L221" s="12">
        <f>IF(A221="","",H221-K221)</f>
        <v/>
      </c>
      <c r="M221" s="13">
        <f>IF(A221="","",ROUND(L221*I221,2))</f>
        <v/>
      </c>
      <c r="N221" s="13">
        <f>IF(A221="","",ROUND(L221*J221,2))</f>
        <v/>
      </c>
      <c r="O221" s="15" t="n"/>
      <c r="P221" s="12">
        <f>IF(A221="","",IF(COUNTIF($A$2:$A$501,A221)&gt;1,"Duplicate lot ID",IF(OR(B221="",H221="",I221="",J221=""),"Complete required fields",IF(L221&lt;0,"OVER SOLD","OK"))))</f>
        <v/>
      </c>
    </row>
    <row r="222" ht="23" customHeight="1">
      <c r="A222" s="9" t="n"/>
      <c r="B222" s="10" t="n"/>
      <c r="C222" s="10" t="n"/>
      <c r="D222" s="10" t="n"/>
      <c r="E222" s="10" t="n"/>
      <c r="F222" s="9" t="n"/>
      <c r="G222" s="10" t="n"/>
      <c r="H222" s="10" t="n"/>
      <c r="I222" s="11" t="n"/>
      <c r="J222" s="11" t="n"/>
      <c r="K222" s="12">
        <f>IF(A222="","",SUMIF(Sales!$C$2:$C$501,A222,Sales!$E$2:$E$501))</f>
        <v/>
      </c>
      <c r="L222" s="12">
        <f>IF(A222="","",H222-K222)</f>
        <v/>
      </c>
      <c r="M222" s="13">
        <f>IF(A222="","",ROUND(L222*I222,2))</f>
        <v/>
      </c>
      <c r="N222" s="13">
        <f>IF(A222="","",ROUND(L222*J222,2))</f>
        <v/>
      </c>
      <c r="O222" s="10" t="n"/>
      <c r="P222" s="12">
        <f>IF(A222="","",IF(COUNTIF($A$2:$A$501,A222)&gt;1,"Duplicate lot ID",IF(OR(B222="",H222="",I222="",J222=""),"Complete required fields",IF(L222&lt;0,"OVER SOLD","OK"))))</f>
        <v/>
      </c>
    </row>
    <row r="223" ht="23" customHeight="1">
      <c r="A223" s="14" t="n"/>
      <c r="B223" s="15" t="n"/>
      <c r="C223" s="15" t="n"/>
      <c r="D223" s="15" t="n"/>
      <c r="E223" s="15" t="n"/>
      <c r="F223" s="14" t="n"/>
      <c r="G223" s="15" t="n"/>
      <c r="H223" s="15" t="n"/>
      <c r="I223" s="16" t="n"/>
      <c r="J223" s="16" t="n"/>
      <c r="K223" s="12">
        <f>IF(A223="","",SUMIF(Sales!$C$2:$C$501,A223,Sales!$E$2:$E$501))</f>
        <v/>
      </c>
      <c r="L223" s="12">
        <f>IF(A223="","",H223-K223)</f>
        <v/>
      </c>
      <c r="M223" s="13">
        <f>IF(A223="","",ROUND(L223*I223,2))</f>
        <v/>
      </c>
      <c r="N223" s="13">
        <f>IF(A223="","",ROUND(L223*J223,2))</f>
        <v/>
      </c>
      <c r="O223" s="15" t="n"/>
      <c r="P223" s="12">
        <f>IF(A223="","",IF(COUNTIF($A$2:$A$501,A223)&gt;1,"Duplicate lot ID",IF(OR(B223="",H223="",I223="",J223=""),"Complete required fields",IF(L223&lt;0,"OVER SOLD","OK"))))</f>
        <v/>
      </c>
    </row>
    <row r="224" ht="23" customHeight="1">
      <c r="A224" s="9" t="n"/>
      <c r="B224" s="10" t="n"/>
      <c r="C224" s="10" t="n"/>
      <c r="D224" s="10" t="n"/>
      <c r="E224" s="10" t="n"/>
      <c r="F224" s="9" t="n"/>
      <c r="G224" s="10" t="n"/>
      <c r="H224" s="10" t="n"/>
      <c r="I224" s="11" t="n"/>
      <c r="J224" s="11" t="n"/>
      <c r="K224" s="12">
        <f>IF(A224="","",SUMIF(Sales!$C$2:$C$501,A224,Sales!$E$2:$E$501))</f>
        <v/>
      </c>
      <c r="L224" s="12">
        <f>IF(A224="","",H224-K224)</f>
        <v/>
      </c>
      <c r="M224" s="13">
        <f>IF(A224="","",ROUND(L224*I224,2))</f>
        <v/>
      </c>
      <c r="N224" s="13">
        <f>IF(A224="","",ROUND(L224*J224,2))</f>
        <v/>
      </c>
      <c r="O224" s="10" t="n"/>
      <c r="P224" s="12">
        <f>IF(A224="","",IF(COUNTIF($A$2:$A$501,A224)&gt;1,"Duplicate lot ID",IF(OR(B224="",H224="",I224="",J224=""),"Complete required fields",IF(L224&lt;0,"OVER SOLD","OK"))))</f>
        <v/>
      </c>
    </row>
    <row r="225" ht="23" customHeight="1">
      <c r="A225" s="14" t="n"/>
      <c r="B225" s="15" t="n"/>
      <c r="C225" s="15" t="n"/>
      <c r="D225" s="15" t="n"/>
      <c r="E225" s="15" t="n"/>
      <c r="F225" s="14" t="n"/>
      <c r="G225" s="15" t="n"/>
      <c r="H225" s="15" t="n"/>
      <c r="I225" s="16" t="n"/>
      <c r="J225" s="16" t="n"/>
      <c r="K225" s="12">
        <f>IF(A225="","",SUMIF(Sales!$C$2:$C$501,A225,Sales!$E$2:$E$501))</f>
        <v/>
      </c>
      <c r="L225" s="12">
        <f>IF(A225="","",H225-K225)</f>
        <v/>
      </c>
      <c r="M225" s="13">
        <f>IF(A225="","",ROUND(L225*I225,2))</f>
        <v/>
      </c>
      <c r="N225" s="13">
        <f>IF(A225="","",ROUND(L225*J225,2))</f>
        <v/>
      </c>
      <c r="O225" s="15" t="n"/>
      <c r="P225" s="12">
        <f>IF(A225="","",IF(COUNTIF($A$2:$A$501,A225)&gt;1,"Duplicate lot ID",IF(OR(B225="",H225="",I225="",J225=""),"Complete required fields",IF(L225&lt;0,"OVER SOLD","OK"))))</f>
        <v/>
      </c>
    </row>
    <row r="226" ht="23" customHeight="1">
      <c r="A226" s="9" t="n"/>
      <c r="B226" s="10" t="n"/>
      <c r="C226" s="10" t="n"/>
      <c r="D226" s="10" t="n"/>
      <c r="E226" s="10" t="n"/>
      <c r="F226" s="9" t="n"/>
      <c r="G226" s="10" t="n"/>
      <c r="H226" s="10" t="n"/>
      <c r="I226" s="11" t="n"/>
      <c r="J226" s="11" t="n"/>
      <c r="K226" s="12">
        <f>IF(A226="","",SUMIF(Sales!$C$2:$C$501,A226,Sales!$E$2:$E$501))</f>
        <v/>
      </c>
      <c r="L226" s="12">
        <f>IF(A226="","",H226-K226)</f>
        <v/>
      </c>
      <c r="M226" s="13">
        <f>IF(A226="","",ROUND(L226*I226,2))</f>
        <v/>
      </c>
      <c r="N226" s="13">
        <f>IF(A226="","",ROUND(L226*J226,2))</f>
        <v/>
      </c>
      <c r="O226" s="10" t="n"/>
      <c r="P226" s="12">
        <f>IF(A226="","",IF(COUNTIF($A$2:$A$501,A226)&gt;1,"Duplicate lot ID",IF(OR(B226="",H226="",I226="",J226=""),"Complete required fields",IF(L226&lt;0,"OVER SOLD","OK"))))</f>
        <v/>
      </c>
    </row>
    <row r="227" ht="23" customHeight="1">
      <c r="A227" s="14" t="n"/>
      <c r="B227" s="15" t="n"/>
      <c r="C227" s="15" t="n"/>
      <c r="D227" s="15" t="n"/>
      <c r="E227" s="15" t="n"/>
      <c r="F227" s="14" t="n"/>
      <c r="G227" s="15" t="n"/>
      <c r="H227" s="15" t="n"/>
      <c r="I227" s="16" t="n"/>
      <c r="J227" s="16" t="n"/>
      <c r="K227" s="12">
        <f>IF(A227="","",SUMIF(Sales!$C$2:$C$501,A227,Sales!$E$2:$E$501))</f>
        <v/>
      </c>
      <c r="L227" s="12">
        <f>IF(A227="","",H227-K227)</f>
        <v/>
      </c>
      <c r="M227" s="13">
        <f>IF(A227="","",ROUND(L227*I227,2))</f>
        <v/>
      </c>
      <c r="N227" s="13">
        <f>IF(A227="","",ROUND(L227*J227,2))</f>
        <v/>
      </c>
      <c r="O227" s="15" t="n"/>
      <c r="P227" s="12">
        <f>IF(A227="","",IF(COUNTIF($A$2:$A$501,A227)&gt;1,"Duplicate lot ID",IF(OR(B227="",H227="",I227="",J227=""),"Complete required fields",IF(L227&lt;0,"OVER SOLD","OK"))))</f>
        <v/>
      </c>
    </row>
    <row r="228" ht="23" customHeight="1">
      <c r="A228" s="9" t="n"/>
      <c r="B228" s="10" t="n"/>
      <c r="C228" s="10" t="n"/>
      <c r="D228" s="10" t="n"/>
      <c r="E228" s="10" t="n"/>
      <c r="F228" s="9" t="n"/>
      <c r="G228" s="10" t="n"/>
      <c r="H228" s="10" t="n"/>
      <c r="I228" s="11" t="n"/>
      <c r="J228" s="11" t="n"/>
      <c r="K228" s="12">
        <f>IF(A228="","",SUMIF(Sales!$C$2:$C$501,A228,Sales!$E$2:$E$501))</f>
        <v/>
      </c>
      <c r="L228" s="12">
        <f>IF(A228="","",H228-K228)</f>
        <v/>
      </c>
      <c r="M228" s="13">
        <f>IF(A228="","",ROUND(L228*I228,2))</f>
        <v/>
      </c>
      <c r="N228" s="13">
        <f>IF(A228="","",ROUND(L228*J228,2))</f>
        <v/>
      </c>
      <c r="O228" s="10" t="n"/>
      <c r="P228" s="12">
        <f>IF(A228="","",IF(COUNTIF($A$2:$A$501,A228)&gt;1,"Duplicate lot ID",IF(OR(B228="",H228="",I228="",J228=""),"Complete required fields",IF(L228&lt;0,"OVER SOLD","OK"))))</f>
        <v/>
      </c>
    </row>
    <row r="229" ht="23" customHeight="1">
      <c r="A229" s="14" t="n"/>
      <c r="B229" s="15" t="n"/>
      <c r="C229" s="15" t="n"/>
      <c r="D229" s="15" t="n"/>
      <c r="E229" s="15" t="n"/>
      <c r="F229" s="14" t="n"/>
      <c r="G229" s="15" t="n"/>
      <c r="H229" s="15" t="n"/>
      <c r="I229" s="16" t="n"/>
      <c r="J229" s="16" t="n"/>
      <c r="K229" s="12">
        <f>IF(A229="","",SUMIF(Sales!$C$2:$C$501,A229,Sales!$E$2:$E$501))</f>
        <v/>
      </c>
      <c r="L229" s="12">
        <f>IF(A229="","",H229-K229)</f>
        <v/>
      </c>
      <c r="M229" s="13">
        <f>IF(A229="","",ROUND(L229*I229,2))</f>
        <v/>
      </c>
      <c r="N229" s="13">
        <f>IF(A229="","",ROUND(L229*J229,2))</f>
        <v/>
      </c>
      <c r="O229" s="15" t="n"/>
      <c r="P229" s="12">
        <f>IF(A229="","",IF(COUNTIF($A$2:$A$501,A229)&gt;1,"Duplicate lot ID",IF(OR(B229="",H229="",I229="",J229=""),"Complete required fields",IF(L229&lt;0,"OVER SOLD","OK"))))</f>
        <v/>
      </c>
    </row>
    <row r="230" ht="23" customHeight="1">
      <c r="A230" s="9" t="n"/>
      <c r="B230" s="10" t="n"/>
      <c r="C230" s="10" t="n"/>
      <c r="D230" s="10" t="n"/>
      <c r="E230" s="10" t="n"/>
      <c r="F230" s="9" t="n"/>
      <c r="G230" s="10" t="n"/>
      <c r="H230" s="10" t="n"/>
      <c r="I230" s="11" t="n"/>
      <c r="J230" s="11" t="n"/>
      <c r="K230" s="12">
        <f>IF(A230="","",SUMIF(Sales!$C$2:$C$501,A230,Sales!$E$2:$E$501))</f>
        <v/>
      </c>
      <c r="L230" s="12">
        <f>IF(A230="","",H230-K230)</f>
        <v/>
      </c>
      <c r="M230" s="13">
        <f>IF(A230="","",ROUND(L230*I230,2))</f>
        <v/>
      </c>
      <c r="N230" s="13">
        <f>IF(A230="","",ROUND(L230*J230,2))</f>
        <v/>
      </c>
      <c r="O230" s="10" t="n"/>
      <c r="P230" s="12">
        <f>IF(A230="","",IF(COUNTIF($A$2:$A$501,A230)&gt;1,"Duplicate lot ID",IF(OR(B230="",H230="",I230="",J230=""),"Complete required fields",IF(L230&lt;0,"OVER SOLD","OK"))))</f>
        <v/>
      </c>
    </row>
    <row r="231" ht="23" customHeight="1">
      <c r="A231" s="14" t="n"/>
      <c r="B231" s="15" t="n"/>
      <c r="C231" s="15" t="n"/>
      <c r="D231" s="15" t="n"/>
      <c r="E231" s="15" t="n"/>
      <c r="F231" s="14" t="n"/>
      <c r="G231" s="15" t="n"/>
      <c r="H231" s="15" t="n"/>
      <c r="I231" s="16" t="n"/>
      <c r="J231" s="16" t="n"/>
      <c r="K231" s="12">
        <f>IF(A231="","",SUMIF(Sales!$C$2:$C$501,A231,Sales!$E$2:$E$501))</f>
        <v/>
      </c>
      <c r="L231" s="12">
        <f>IF(A231="","",H231-K231)</f>
        <v/>
      </c>
      <c r="M231" s="13">
        <f>IF(A231="","",ROUND(L231*I231,2))</f>
        <v/>
      </c>
      <c r="N231" s="13">
        <f>IF(A231="","",ROUND(L231*J231,2))</f>
        <v/>
      </c>
      <c r="O231" s="15" t="n"/>
      <c r="P231" s="12">
        <f>IF(A231="","",IF(COUNTIF($A$2:$A$501,A231)&gt;1,"Duplicate lot ID",IF(OR(B231="",H231="",I231="",J231=""),"Complete required fields",IF(L231&lt;0,"OVER SOLD","OK"))))</f>
        <v/>
      </c>
    </row>
    <row r="232" ht="23" customHeight="1">
      <c r="A232" s="9" t="n"/>
      <c r="B232" s="10" t="n"/>
      <c r="C232" s="10" t="n"/>
      <c r="D232" s="10" t="n"/>
      <c r="E232" s="10" t="n"/>
      <c r="F232" s="9" t="n"/>
      <c r="G232" s="10" t="n"/>
      <c r="H232" s="10" t="n"/>
      <c r="I232" s="11" t="n"/>
      <c r="J232" s="11" t="n"/>
      <c r="K232" s="12">
        <f>IF(A232="","",SUMIF(Sales!$C$2:$C$501,A232,Sales!$E$2:$E$501))</f>
        <v/>
      </c>
      <c r="L232" s="12">
        <f>IF(A232="","",H232-K232)</f>
        <v/>
      </c>
      <c r="M232" s="13">
        <f>IF(A232="","",ROUND(L232*I232,2))</f>
        <v/>
      </c>
      <c r="N232" s="13">
        <f>IF(A232="","",ROUND(L232*J232,2))</f>
        <v/>
      </c>
      <c r="O232" s="10" t="n"/>
      <c r="P232" s="12">
        <f>IF(A232="","",IF(COUNTIF($A$2:$A$501,A232)&gt;1,"Duplicate lot ID",IF(OR(B232="",H232="",I232="",J232=""),"Complete required fields",IF(L232&lt;0,"OVER SOLD","OK"))))</f>
        <v/>
      </c>
    </row>
    <row r="233" ht="23" customHeight="1">
      <c r="A233" s="14" t="n"/>
      <c r="B233" s="15" t="n"/>
      <c r="C233" s="15" t="n"/>
      <c r="D233" s="15" t="n"/>
      <c r="E233" s="15" t="n"/>
      <c r="F233" s="14" t="n"/>
      <c r="G233" s="15" t="n"/>
      <c r="H233" s="15" t="n"/>
      <c r="I233" s="16" t="n"/>
      <c r="J233" s="16" t="n"/>
      <c r="K233" s="12">
        <f>IF(A233="","",SUMIF(Sales!$C$2:$C$501,A233,Sales!$E$2:$E$501))</f>
        <v/>
      </c>
      <c r="L233" s="12">
        <f>IF(A233="","",H233-K233)</f>
        <v/>
      </c>
      <c r="M233" s="13">
        <f>IF(A233="","",ROUND(L233*I233,2))</f>
        <v/>
      </c>
      <c r="N233" s="13">
        <f>IF(A233="","",ROUND(L233*J233,2))</f>
        <v/>
      </c>
      <c r="O233" s="15" t="n"/>
      <c r="P233" s="12">
        <f>IF(A233="","",IF(COUNTIF($A$2:$A$501,A233)&gt;1,"Duplicate lot ID",IF(OR(B233="",H233="",I233="",J233=""),"Complete required fields",IF(L233&lt;0,"OVER SOLD","OK"))))</f>
        <v/>
      </c>
    </row>
    <row r="234" ht="23" customHeight="1">
      <c r="A234" s="9" t="n"/>
      <c r="B234" s="10" t="n"/>
      <c r="C234" s="10" t="n"/>
      <c r="D234" s="10" t="n"/>
      <c r="E234" s="10" t="n"/>
      <c r="F234" s="9" t="n"/>
      <c r="G234" s="10" t="n"/>
      <c r="H234" s="10" t="n"/>
      <c r="I234" s="11" t="n"/>
      <c r="J234" s="11" t="n"/>
      <c r="K234" s="12">
        <f>IF(A234="","",SUMIF(Sales!$C$2:$C$501,A234,Sales!$E$2:$E$501))</f>
        <v/>
      </c>
      <c r="L234" s="12">
        <f>IF(A234="","",H234-K234)</f>
        <v/>
      </c>
      <c r="M234" s="13">
        <f>IF(A234="","",ROUND(L234*I234,2))</f>
        <v/>
      </c>
      <c r="N234" s="13">
        <f>IF(A234="","",ROUND(L234*J234,2))</f>
        <v/>
      </c>
      <c r="O234" s="10" t="n"/>
      <c r="P234" s="12">
        <f>IF(A234="","",IF(COUNTIF($A$2:$A$501,A234)&gt;1,"Duplicate lot ID",IF(OR(B234="",H234="",I234="",J234=""),"Complete required fields",IF(L234&lt;0,"OVER SOLD","OK"))))</f>
        <v/>
      </c>
    </row>
    <row r="235" ht="23" customHeight="1">
      <c r="A235" s="14" t="n"/>
      <c r="B235" s="15" t="n"/>
      <c r="C235" s="15" t="n"/>
      <c r="D235" s="15" t="n"/>
      <c r="E235" s="15" t="n"/>
      <c r="F235" s="14" t="n"/>
      <c r="G235" s="15" t="n"/>
      <c r="H235" s="15" t="n"/>
      <c r="I235" s="16" t="n"/>
      <c r="J235" s="16" t="n"/>
      <c r="K235" s="12">
        <f>IF(A235="","",SUMIF(Sales!$C$2:$C$501,A235,Sales!$E$2:$E$501))</f>
        <v/>
      </c>
      <c r="L235" s="12">
        <f>IF(A235="","",H235-K235)</f>
        <v/>
      </c>
      <c r="M235" s="13">
        <f>IF(A235="","",ROUND(L235*I235,2))</f>
        <v/>
      </c>
      <c r="N235" s="13">
        <f>IF(A235="","",ROUND(L235*J235,2))</f>
        <v/>
      </c>
      <c r="O235" s="15" t="n"/>
      <c r="P235" s="12">
        <f>IF(A235="","",IF(COUNTIF($A$2:$A$501,A235)&gt;1,"Duplicate lot ID",IF(OR(B235="",H235="",I235="",J235=""),"Complete required fields",IF(L235&lt;0,"OVER SOLD","OK"))))</f>
        <v/>
      </c>
    </row>
    <row r="236" ht="23" customHeight="1">
      <c r="A236" s="9" t="n"/>
      <c r="B236" s="10" t="n"/>
      <c r="C236" s="10" t="n"/>
      <c r="D236" s="10" t="n"/>
      <c r="E236" s="10" t="n"/>
      <c r="F236" s="9" t="n"/>
      <c r="G236" s="10" t="n"/>
      <c r="H236" s="10" t="n"/>
      <c r="I236" s="11" t="n"/>
      <c r="J236" s="11" t="n"/>
      <c r="K236" s="12">
        <f>IF(A236="","",SUMIF(Sales!$C$2:$C$501,A236,Sales!$E$2:$E$501))</f>
        <v/>
      </c>
      <c r="L236" s="12">
        <f>IF(A236="","",H236-K236)</f>
        <v/>
      </c>
      <c r="M236" s="13">
        <f>IF(A236="","",ROUND(L236*I236,2))</f>
        <v/>
      </c>
      <c r="N236" s="13">
        <f>IF(A236="","",ROUND(L236*J236,2))</f>
        <v/>
      </c>
      <c r="O236" s="10" t="n"/>
      <c r="P236" s="12">
        <f>IF(A236="","",IF(COUNTIF($A$2:$A$501,A236)&gt;1,"Duplicate lot ID",IF(OR(B236="",H236="",I236="",J236=""),"Complete required fields",IF(L236&lt;0,"OVER SOLD","OK"))))</f>
        <v/>
      </c>
    </row>
    <row r="237" ht="23" customHeight="1">
      <c r="A237" s="14" t="n"/>
      <c r="B237" s="15" t="n"/>
      <c r="C237" s="15" t="n"/>
      <c r="D237" s="15" t="n"/>
      <c r="E237" s="15" t="n"/>
      <c r="F237" s="14" t="n"/>
      <c r="G237" s="15" t="n"/>
      <c r="H237" s="15" t="n"/>
      <c r="I237" s="16" t="n"/>
      <c r="J237" s="16" t="n"/>
      <c r="K237" s="12">
        <f>IF(A237="","",SUMIF(Sales!$C$2:$C$501,A237,Sales!$E$2:$E$501))</f>
        <v/>
      </c>
      <c r="L237" s="12">
        <f>IF(A237="","",H237-K237)</f>
        <v/>
      </c>
      <c r="M237" s="13">
        <f>IF(A237="","",ROUND(L237*I237,2))</f>
        <v/>
      </c>
      <c r="N237" s="13">
        <f>IF(A237="","",ROUND(L237*J237,2))</f>
        <v/>
      </c>
      <c r="O237" s="15" t="n"/>
      <c r="P237" s="12">
        <f>IF(A237="","",IF(COUNTIF($A$2:$A$501,A237)&gt;1,"Duplicate lot ID",IF(OR(B237="",H237="",I237="",J237=""),"Complete required fields",IF(L237&lt;0,"OVER SOLD","OK"))))</f>
        <v/>
      </c>
    </row>
    <row r="238" ht="23" customHeight="1">
      <c r="A238" s="9" t="n"/>
      <c r="B238" s="10" t="n"/>
      <c r="C238" s="10" t="n"/>
      <c r="D238" s="10" t="n"/>
      <c r="E238" s="10" t="n"/>
      <c r="F238" s="9" t="n"/>
      <c r="G238" s="10" t="n"/>
      <c r="H238" s="10" t="n"/>
      <c r="I238" s="11" t="n"/>
      <c r="J238" s="11" t="n"/>
      <c r="K238" s="12">
        <f>IF(A238="","",SUMIF(Sales!$C$2:$C$501,A238,Sales!$E$2:$E$501))</f>
        <v/>
      </c>
      <c r="L238" s="12">
        <f>IF(A238="","",H238-K238)</f>
        <v/>
      </c>
      <c r="M238" s="13">
        <f>IF(A238="","",ROUND(L238*I238,2))</f>
        <v/>
      </c>
      <c r="N238" s="13">
        <f>IF(A238="","",ROUND(L238*J238,2))</f>
        <v/>
      </c>
      <c r="O238" s="10" t="n"/>
      <c r="P238" s="12">
        <f>IF(A238="","",IF(COUNTIF($A$2:$A$501,A238)&gt;1,"Duplicate lot ID",IF(OR(B238="",H238="",I238="",J238=""),"Complete required fields",IF(L238&lt;0,"OVER SOLD","OK"))))</f>
        <v/>
      </c>
    </row>
    <row r="239" ht="23" customHeight="1">
      <c r="A239" s="14" t="n"/>
      <c r="B239" s="15" t="n"/>
      <c r="C239" s="15" t="n"/>
      <c r="D239" s="15" t="n"/>
      <c r="E239" s="15" t="n"/>
      <c r="F239" s="14" t="n"/>
      <c r="G239" s="15" t="n"/>
      <c r="H239" s="15" t="n"/>
      <c r="I239" s="16" t="n"/>
      <c r="J239" s="16" t="n"/>
      <c r="K239" s="12">
        <f>IF(A239="","",SUMIF(Sales!$C$2:$C$501,A239,Sales!$E$2:$E$501))</f>
        <v/>
      </c>
      <c r="L239" s="12">
        <f>IF(A239="","",H239-K239)</f>
        <v/>
      </c>
      <c r="M239" s="13">
        <f>IF(A239="","",ROUND(L239*I239,2))</f>
        <v/>
      </c>
      <c r="N239" s="13">
        <f>IF(A239="","",ROUND(L239*J239,2))</f>
        <v/>
      </c>
      <c r="O239" s="15" t="n"/>
      <c r="P239" s="12">
        <f>IF(A239="","",IF(COUNTIF($A$2:$A$501,A239)&gt;1,"Duplicate lot ID",IF(OR(B239="",H239="",I239="",J239=""),"Complete required fields",IF(L239&lt;0,"OVER SOLD","OK"))))</f>
        <v/>
      </c>
    </row>
    <row r="240" ht="23" customHeight="1">
      <c r="A240" s="9" t="n"/>
      <c r="B240" s="10" t="n"/>
      <c r="C240" s="10" t="n"/>
      <c r="D240" s="10" t="n"/>
      <c r="E240" s="10" t="n"/>
      <c r="F240" s="9" t="n"/>
      <c r="G240" s="10" t="n"/>
      <c r="H240" s="10" t="n"/>
      <c r="I240" s="11" t="n"/>
      <c r="J240" s="11" t="n"/>
      <c r="K240" s="12">
        <f>IF(A240="","",SUMIF(Sales!$C$2:$C$501,A240,Sales!$E$2:$E$501))</f>
        <v/>
      </c>
      <c r="L240" s="12">
        <f>IF(A240="","",H240-K240)</f>
        <v/>
      </c>
      <c r="M240" s="13">
        <f>IF(A240="","",ROUND(L240*I240,2))</f>
        <v/>
      </c>
      <c r="N240" s="13">
        <f>IF(A240="","",ROUND(L240*J240,2))</f>
        <v/>
      </c>
      <c r="O240" s="10" t="n"/>
      <c r="P240" s="12">
        <f>IF(A240="","",IF(COUNTIF($A$2:$A$501,A240)&gt;1,"Duplicate lot ID",IF(OR(B240="",H240="",I240="",J240=""),"Complete required fields",IF(L240&lt;0,"OVER SOLD","OK"))))</f>
        <v/>
      </c>
    </row>
    <row r="241" ht="23" customHeight="1">
      <c r="A241" s="14" t="n"/>
      <c r="B241" s="15" t="n"/>
      <c r="C241" s="15" t="n"/>
      <c r="D241" s="15" t="n"/>
      <c r="E241" s="15" t="n"/>
      <c r="F241" s="14" t="n"/>
      <c r="G241" s="15" t="n"/>
      <c r="H241" s="15" t="n"/>
      <c r="I241" s="16" t="n"/>
      <c r="J241" s="16" t="n"/>
      <c r="K241" s="12">
        <f>IF(A241="","",SUMIF(Sales!$C$2:$C$501,A241,Sales!$E$2:$E$501))</f>
        <v/>
      </c>
      <c r="L241" s="12">
        <f>IF(A241="","",H241-K241)</f>
        <v/>
      </c>
      <c r="M241" s="13">
        <f>IF(A241="","",ROUND(L241*I241,2))</f>
        <v/>
      </c>
      <c r="N241" s="13">
        <f>IF(A241="","",ROUND(L241*J241,2))</f>
        <v/>
      </c>
      <c r="O241" s="15" t="n"/>
      <c r="P241" s="12">
        <f>IF(A241="","",IF(COUNTIF($A$2:$A$501,A241)&gt;1,"Duplicate lot ID",IF(OR(B241="",H241="",I241="",J241=""),"Complete required fields",IF(L241&lt;0,"OVER SOLD","OK"))))</f>
        <v/>
      </c>
    </row>
    <row r="242" ht="23" customHeight="1">
      <c r="A242" s="9" t="n"/>
      <c r="B242" s="10" t="n"/>
      <c r="C242" s="10" t="n"/>
      <c r="D242" s="10" t="n"/>
      <c r="E242" s="10" t="n"/>
      <c r="F242" s="9" t="n"/>
      <c r="G242" s="10" t="n"/>
      <c r="H242" s="10" t="n"/>
      <c r="I242" s="11" t="n"/>
      <c r="J242" s="11" t="n"/>
      <c r="K242" s="12">
        <f>IF(A242="","",SUMIF(Sales!$C$2:$C$501,A242,Sales!$E$2:$E$501))</f>
        <v/>
      </c>
      <c r="L242" s="12">
        <f>IF(A242="","",H242-K242)</f>
        <v/>
      </c>
      <c r="M242" s="13">
        <f>IF(A242="","",ROUND(L242*I242,2))</f>
        <v/>
      </c>
      <c r="N242" s="13">
        <f>IF(A242="","",ROUND(L242*J242,2))</f>
        <v/>
      </c>
      <c r="O242" s="10" t="n"/>
      <c r="P242" s="12">
        <f>IF(A242="","",IF(COUNTIF($A$2:$A$501,A242)&gt;1,"Duplicate lot ID",IF(OR(B242="",H242="",I242="",J242=""),"Complete required fields",IF(L242&lt;0,"OVER SOLD","OK"))))</f>
        <v/>
      </c>
    </row>
    <row r="243" ht="23" customHeight="1">
      <c r="A243" s="14" t="n"/>
      <c r="B243" s="15" t="n"/>
      <c r="C243" s="15" t="n"/>
      <c r="D243" s="15" t="n"/>
      <c r="E243" s="15" t="n"/>
      <c r="F243" s="14" t="n"/>
      <c r="G243" s="15" t="n"/>
      <c r="H243" s="15" t="n"/>
      <c r="I243" s="16" t="n"/>
      <c r="J243" s="16" t="n"/>
      <c r="K243" s="12">
        <f>IF(A243="","",SUMIF(Sales!$C$2:$C$501,A243,Sales!$E$2:$E$501))</f>
        <v/>
      </c>
      <c r="L243" s="12">
        <f>IF(A243="","",H243-K243)</f>
        <v/>
      </c>
      <c r="M243" s="13">
        <f>IF(A243="","",ROUND(L243*I243,2))</f>
        <v/>
      </c>
      <c r="N243" s="13">
        <f>IF(A243="","",ROUND(L243*J243,2))</f>
        <v/>
      </c>
      <c r="O243" s="15" t="n"/>
      <c r="P243" s="12">
        <f>IF(A243="","",IF(COUNTIF($A$2:$A$501,A243)&gt;1,"Duplicate lot ID",IF(OR(B243="",H243="",I243="",J243=""),"Complete required fields",IF(L243&lt;0,"OVER SOLD","OK"))))</f>
        <v/>
      </c>
    </row>
    <row r="244" ht="23" customHeight="1">
      <c r="A244" s="9" t="n"/>
      <c r="B244" s="10" t="n"/>
      <c r="C244" s="10" t="n"/>
      <c r="D244" s="10" t="n"/>
      <c r="E244" s="10" t="n"/>
      <c r="F244" s="9" t="n"/>
      <c r="G244" s="10" t="n"/>
      <c r="H244" s="10" t="n"/>
      <c r="I244" s="11" t="n"/>
      <c r="J244" s="11" t="n"/>
      <c r="K244" s="12">
        <f>IF(A244="","",SUMIF(Sales!$C$2:$C$501,A244,Sales!$E$2:$E$501))</f>
        <v/>
      </c>
      <c r="L244" s="12">
        <f>IF(A244="","",H244-K244)</f>
        <v/>
      </c>
      <c r="M244" s="13">
        <f>IF(A244="","",ROUND(L244*I244,2))</f>
        <v/>
      </c>
      <c r="N244" s="13">
        <f>IF(A244="","",ROUND(L244*J244,2))</f>
        <v/>
      </c>
      <c r="O244" s="10" t="n"/>
      <c r="P244" s="12">
        <f>IF(A244="","",IF(COUNTIF($A$2:$A$501,A244)&gt;1,"Duplicate lot ID",IF(OR(B244="",H244="",I244="",J244=""),"Complete required fields",IF(L244&lt;0,"OVER SOLD","OK"))))</f>
        <v/>
      </c>
    </row>
    <row r="245" ht="23" customHeight="1">
      <c r="A245" s="14" t="n"/>
      <c r="B245" s="15" t="n"/>
      <c r="C245" s="15" t="n"/>
      <c r="D245" s="15" t="n"/>
      <c r="E245" s="15" t="n"/>
      <c r="F245" s="14" t="n"/>
      <c r="G245" s="15" t="n"/>
      <c r="H245" s="15" t="n"/>
      <c r="I245" s="16" t="n"/>
      <c r="J245" s="16" t="n"/>
      <c r="K245" s="12">
        <f>IF(A245="","",SUMIF(Sales!$C$2:$C$501,A245,Sales!$E$2:$E$501))</f>
        <v/>
      </c>
      <c r="L245" s="12">
        <f>IF(A245="","",H245-K245)</f>
        <v/>
      </c>
      <c r="M245" s="13">
        <f>IF(A245="","",ROUND(L245*I245,2))</f>
        <v/>
      </c>
      <c r="N245" s="13">
        <f>IF(A245="","",ROUND(L245*J245,2))</f>
        <v/>
      </c>
      <c r="O245" s="15" t="n"/>
      <c r="P245" s="12">
        <f>IF(A245="","",IF(COUNTIF($A$2:$A$501,A245)&gt;1,"Duplicate lot ID",IF(OR(B245="",H245="",I245="",J245=""),"Complete required fields",IF(L245&lt;0,"OVER SOLD","OK"))))</f>
        <v/>
      </c>
    </row>
    <row r="246" ht="23" customHeight="1">
      <c r="A246" s="9" t="n"/>
      <c r="B246" s="10" t="n"/>
      <c r="C246" s="10" t="n"/>
      <c r="D246" s="10" t="n"/>
      <c r="E246" s="10" t="n"/>
      <c r="F246" s="9" t="n"/>
      <c r="G246" s="10" t="n"/>
      <c r="H246" s="10" t="n"/>
      <c r="I246" s="11" t="n"/>
      <c r="J246" s="11" t="n"/>
      <c r="K246" s="12">
        <f>IF(A246="","",SUMIF(Sales!$C$2:$C$501,A246,Sales!$E$2:$E$501))</f>
        <v/>
      </c>
      <c r="L246" s="12">
        <f>IF(A246="","",H246-K246)</f>
        <v/>
      </c>
      <c r="M246" s="13">
        <f>IF(A246="","",ROUND(L246*I246,2))</f>
        <v/>
      </c>
      <c r="N246" s="13">
        <f>IF(A246="","",ROUND(L246*J246,2))</f>
        <v/>
      </c>
      <c r="O246" s="10" t="n"/>
      <c r="P246" s="12">
        <f>IF(A246="","",IF(COUNTIF($A$2:$A$501,A246)&gt;1,"Duplicate lot ID",IF(OR(B246="",H246="",I246="",J246=""),"Complete required fields",IF(L246&lt;0,"OVER SOLD","OK"))))</f>
        <v/>
      </c>
    </row>
    <row r="247" ht="23" customHeight="1">
      <c r="A247" s="14" t="n"/>
      <c r="B247" s="15" t="n"/>
      <c r="C247" s="15" t="n"/>
      <c r="D247" s="15" t="n"/>
      <c r="E247" s="15" t="n"/>
      <c r="F247" s="14" t="n"/>
      <c r="G247" s="15" t="n"/>
      <c r="H247" s="15" t="n"/>
      <c r="I247" s="16" t="n"/>
      <c r="J247" s="16" t="n"/>
      <c r="K247" s="12">
        <f>IF(A247="","",SUMIF(Sales!$C$2:$C$501,A247,Sales!$E$2:$E$501))</f>
        <v/>
      </c>
      <c r="L247" s="12">
        <f>IF(A247="","",H247-K247)</f>
        <v/>
      </c>
      <c r="M247" s="13">
        <f>IF(A247="","",ROUND(L247*I247,2))</f>
        <v/>
      </c>
      <c r="N247" s="13">
        <f>IF(A247="","",ROUND(L247*J247,2))</f>
        <v/>
      </c>
      <c r="O247" s="15" t="n"/>
      <c r="P247" s="12">
        <f>IF(A247="","",IF(COUNTIF($A$2:$A$501,A247)&gt;1,"Duplicate lot ID",IF(OR(B247="",H247="",I247="",J247=""),"Complete required fields",IF(L247&lt;0,"OVER SOLD","OK"))))</f>
        <v/>
      </c>
    </row>
    <row r="248" ht="23" customHeight="1">
      <c r="A248" s="9" t="n"/>
      <c r="B248" s="10" t="n"/>
      <c r="C248" s="10" t="n"/>
      <c r="D248" s="10" t="n"/>
      <c r="E248" s="10" t="n"/>
      <c r="F248" s="9" t="n"/>
      <c r="G248" s="10" t="n"/>
      <c r="H248" s="10" t="n"/>
      <c r="I248" s="11" t="n"/>
      <c r="J248" s="11" t="n"/>
      <c r="K248" s="12">
        <f>IF(A248="","",SUMIF(Sales!$C$2:$C$501,A248,Sales!$E$2:$E$501))</f>
        <v/>
      </c>
      <c r="L248" s="12">
        <f>IF(A248="","",H248-K248)</f>
        <v/>
      </c>
      <c r="M248" s="13">
        <f>IF(A248="","",ROUND(L248*I248,2))</f>
        <v/>
      </c>
      <c r="N248" s="13">
        <f>IF(A248="","",ROUND(L248*J248,2))</f>
        <v/>
      </c>
      <c r="O248" s="10" t="n"/>
      <c r="P248" s="12">
        <f>IF(A248="","",IF(COUNTIF($A$2:$A$501,A248)&gt;1,"Duplicate lot ID",IF(OR(B248="",H248="",I248="",J248=""),"Complete required fields",IF(L248&lt;0,"OVER SOLD","OK"))))</f>
        <v/>
      </c>
    </row>
    <row r="249" ht="23" customHeight="1">
      <c r="A249" s="14" t="n"/>
      <c r="B249" s="15" t="n"/>
      <c r="C249" s="15" t="n"/>
      <c r="D249" s="15" t="n"/>
      <c r="E249" s="15" t="n"/>
      <c r="F249" s="14" t="n"/>
      <c r="G249" s="15" t="n"/>
      <c r="H249" s="15" t="n"/>
      <c r="I249" s="16" t="n"/>
      <c r="J249" s="16" t="n"/>
      <c r="K249" s="12">
        <f>IF(A249="","",SUMIF(Sales!$C$2:$C$501,A249,Sales!$E$2:$E$501))</f>
        <v/>
      </c>
      <c r="L249" s="12">
        <f>IF(A249="","",H249-K249)</f>
        <v/>
      </c>
      <c r="M249" s="13">
        <f>IF(A249="","",ROUND(L249*I249,2))</f>
        <v/>
      </c>
      <c r="N249" s="13">
        <f>IF(A249="","",ROUND(L249*J249,2))</f>
        <v/>
      </c>
      <c r="O249" s="15" t="n"/>
      <c r="P249" s="12">
        <f>IF(A249="","",IF(COUNTIF($A$2:$A$501,A249)&gt;1,"Duplicate lot ID",IF(OR(B249="",H249="",I249="",J249=""),"Complete required fields",IF(L249&lt;0,"OVER SOLD","OK"))))</f>
        <v/>
      </c>
    </row>
    <row r="250" ht="23" customHeight="1">
      <c r="A250" s="9" t="n"/>
      <c r="B250" s="10" t="n"/>
      <c r="C250" s="10" t="n"/>
      <c r="D250" s="10" t="n"/>
      <c r="E250" s="10" t="n"/>
      <c r="F250" s="9" t="n"/>
      <c r="G250" s="10" t="n"/>
      <c r="H250" s="10" t="n"/>
      <c r="I250" s="11" t="n"/>
      <c r="J250" s="11" t="n"/>
      <c r="K250" s="12">
        <f>IF(A250="","",SUMIF(Sales!$C$2:$C$501,A250,Sales!$E$2:$E$501))</f>
        <v/>
      </c>
      <c r="L250" s="12">
        <f>IF(A250="","",H250-K250)</f>
        <v/>
      </c>
      <c r="M250" s="13">
        <f>IF(A250="","",ROUND(L250*I250,2))</f>
        <v/>
      </c>
      <c r="N250" s="13">
        <f>IF(A250="","",ROUND(L250*J250,2))</f>
        <v/>
      </c>
      <c r="O250" s="10" t="n"/>
      <c r="P250" s="12">
        <f>IF(A250="","",IF(COUNTIF($A$2:$A$501,A250)&gt;1,"Duplicate lot ID",IF(OR(B250="",H250="",I250="",J250=""),"Complete required fields",IF(L250&lt;0,"OVER SOLD","OK"))))</f>
        <v/>
      </c>
    </row>
    <row r="251" ht="23" customHeight="1">
      <c r="A251" s="14" t="n"/>
      <c r="B251" s="15" t="n"/>
      <c r="C251" s="15" t="n"/>
      <c r="D251" s="15" t="n"/>
      <c r="E251" s="15" t="n"/>
      <c r="F251" s="14" t="n"/>
      <c r="G251" s="15" t="n"/>
      <c r="H251" s="15" t="n"/>
      <c r="I251" s="16" t="n"/>
      <c r="J251" s="16" t="n"/>
      <c r="K251" s="12">
        <f>IF(A251="","",SUMIF(Sales!$C$2:$C$501,A251,Sales!$E$2:$E$501))</f>
        <v/>
      </c>
      <c r="L251" s="12">
        <f>IF(A251="","",H251-K251)</f>
        <v/>
      </c>
      <c r="M251" s="13">
        <f>IF(A251="","",ROUND(L251*I251,2))</f>
        <v/>
      </c>
      <c r="N251" s="13">
        <f>IF(A251="","",ROUND(L251*J251,2))</f>
        <v/>
      </c>
      <c r="O251" s="15" t="n"/>
      <c r="P251" s="12">
        <f>IF(A251="","",IF(COUNTIF($A$2:$A$501,A251)&gt;1,"Duplicate lot ID",IF(OR(B251="",H251="",I251="",J251=""),"Complete required fields",IF(L251&lt;0,"OVER SOLD","OK"))))</f>
        <v/>
      </c>
    </row>
    <row r="252" ht="23" customHeight="1">
      <c r="A252" s="9" t="n"/>
      <c r="B252" s="10" t="n"/>
      <c r="C252" s="10" t="n"/>
      <c r="D252" s="10" t="n"/>
      <c r="E252" s="10" t="n"/>
      <c r="F252" s="9" t="n"/>
      <c r="G252" s="10" t="n"/>
      <c r="H252" s="10" t="n"/>
      <c r="I252" s="11" t="n"/>
      <c r="J252" s="11" t="n"/>
      <c r="K252" s="12">
        <f>IF(A252="","",SUMIF(Sales!$C$2:$C$501,A252,Sales!$E$2:$E$501))</f>
        <v/>
      </c>
      <c r="L252" s="12">
        <f>IF(A252="","",H252-K252)</f>
        <v/>
      </c>
      <c r="M252" s="13">
        <f>IF(A252="","",ROUND(L252*I252,2))</f>
        <v/>
      </c>
      <c r="N252" s="13">
        <f>IF(A252="","",ROUND(L252*J252,2))</f>
        <v/>
      </c>
      <c r="O252" s="10" t="n"/>
      <c r="P252" s="12">
        <f>IF(A252="","",IF(COUNTIF($A$2:$A$501,A252)&gt;1,"Duplicate lot ID",IF(OR(B252="",H252="",I252="",J252=""),"Complete required fields",IF(L252&lt;0,"OVER SOLD","OK"))))</f>
        <v/>
      </c>
    </row>
    <row r="253" ht="23" customHeight="1">
      <c r="A253" s="14" t="n"/>
      <c r="B253" s="15" t="n"/>
      <c r="C253" s="15" t="n"/>
      <c r="D253" s="15" t="n"/>
      <c r="E253" s="15" t="n"/>
      <c r="F253" s="14" t="n"/>
      <c r="G253" s="15" t="n"/>
      <c r="H253" s="15" t="n"/>
      <c r="I253" s="16" t="n"/>
      <c r="J253" s="16" t="n"/>
      <c r="K253" s="12">
        <f>IF(A253="","",SUMIF(Sales!$C$2:$C$501,A253,Sales!$E$2:$E$501))</f>
        <v/>
      </c>
      <c r="L253" s="12">
        <f>IF(A253="","",H253-K253)</f>
        <v/>
      </c>
      <c r="M253" s="13">
        <f>IF(A253="","",ROUND(L253*I253,2))</f>
        <v/>
      </c>
      <c r="N253" s="13">
        <f>IF(A253="","",ROUND(L253*J253,2))</f>
        <v/>
      </c>
      <c r="O253" s="15" t="n"/>
      <c r="P253" s="12">
        <f>IF(A253="","",IF(COUNTIF($A$2:$A$501,A253)&gt;1,"Duplicate lot ID",IF(OR(B253="",H253="",I253="",J253=""),"Complete required fields",IF(L253&lt;0,"OVER SOLD","OK"))))</f>
        <v/>
      </c>
    </row>
    <row r="254" ht="23" customHeight="1">
      <c r="A254" s="9" t="n"/>
      <c r="B254" s="10" t="n"/>
      <c r="C254" s="10" t="n"/>
      <c r="D254" s="10" t="n"/>
      <c r="E254" s="10" t="n"/>
      <c r="F254" s="9" t="n"/>
      <c r="G254" s="10" t="n"/>
      <c r="H254" s="10" t="n"/>
      <c r="I254" s="11" t="n"/>
      <c r="J254" s="11" t="n"/>
      <c r="K254" s="12">
        <f>IF(A254="","",SUMIF(Sales!$C$2:$C$501,A254,Sales!$E$2:$E$501))</f>
        <v/>
      </c>
      <c r="L254" s="12">
        <f>IF(A254="","",H254-K254)</f>
        <v/>
      </c>
      <c r="M254" s="13">
        <f>IF(A254="","",ROUND(L254*I254,2))</f>
        <v/>
      </c>
      <c r="N254" s="13">
        <f>IF(A254="","",ROUND(L254*J254,2))</f>
        <v/>
      </c>
      <c r="O254" s="10" t="n"/>
      <c r="P254" s="12">
        <f>IF(A254="","",IF(COUNTIF($A$2:$A$501,A254)&gt;1,"Duplicate lot ID",IF(OR(B254="",H254="",I254="",J254=""),"Complete required fields",IF(L254&lt;0,"OVER SOLD","OK"))))</f>
        <v/>
      </c>
    </row>
    <row r="255" ht="23" customHeight="1">
      <c r="A255" s="14" t="n"/>
      <c r="B255" s="15" t="n"/>
      <c r="C255" s="15" t="n"/>
      <c r="D255" s="15" t="n"/>
      <c r="E255" s="15" t="n"/>
      <c r="F255" s="14" t="n"/>
      <c r="G255" s="15" t="n"/>
      <c r="H255" s="15" t="n"/>
      <c r="I255" s="16" t="n"/>
      <c r="J255" s="16" t="n"/>
      <c r="K255" s="12">
        <f>IF(A255="","",SUMIF(Sales!$C$2:$C$501,A255,Sales!$E$2:$E$501))</f>
        <v/>
      </c>
      <c r="L255" s="12">
        <f>IF(A255="","",H255-K255)</f>
        <v/>
      </c>
      <c r="M255" s="13">
        <f>IF(A255="","",ROUND(L255*I255,2))</f>
        <v/>
      </c>
      <c r="N255" s="13">
        <f>IF(A255="","",ROUND(L255*J255,2))</f>
        <v/>
      </c>
      <c r="O255" s="15" t="n"/>
      <c r="P255" s="12">
        <f>IF(A255="","",IF(COUNTIF($A$2:$A$501,A255)&gt;1,"Duplicate lot ID",IF(OR(B255="",H255="",I255="",J255=""),"Complete required fields",IF(L255&lt;0,"OVER SOLD","OK"))))</f>
        <v/>
      </c>
    </row>
    <row r="256" ht="23" customHeight="1">
      <c r="A256" s="9" t="n"/>
      <c r="B256" s="10" t="n"/>
      <c r="C256" s="10" t="n"/>
      <c r="D256" s="10" t="n"/>
      <c r="E256" s="10" t="n"/>
      <c r="F256" s="9" t="n"/>
      <c r="G256" s="10" t="n"/>
      <c r="H256" s="10" t="n"/>
      <c r="I256" s="11" t="n"/>
      <c r="J256" s="11" t="n"/>
      <c r="K256" s="12">
        <f>IF(A256="","",SUMIF(Sales!$C$2:$C$501,A256,Sales!$E$2:$E$501))</f>
        <v/>
      </c>
      <c r="L256" s="12">
        <f>IF(A256="","",H256-K256)</f>
        <v/>
      </c>
      <c r="M256" s="13">
        <f>IF(A256="","",ROUND(L256*I256,2))</f>
        <v/>
      </c>
      <c r="N256" s="13">
        <f>IF(A256="","",ROUND(L256*J256,2))</f>
        <v/>
      </c>
      <c r="O256" s="10" t="n"/>
      <c r="P256" s="12">
        <f>IF(A256="","",IF(COUNTIF($A$2:$A$501,A256)&gt;1,"Duplicate lot ID",IF(OR(B256="",H256="",I256="",J256=""),"Complete required fields",IF(L256&lt;0,"OVER SOLD","OK"))))</f>
        <v/>
      </c>
    </row>
    <row r="257" ht="23" customHeight="1">
      <c r="A257" s="14" t="n"/>
      <c r="B257" s="15" t="n"/>
      <c r="C257" s="15" t="n"/>
      <c r="D257" s="15" t="n"/>
      <c r="E257" s="15" t="n"/>
      <c r="F257" s="14" t="n"/>
      <c r="G257" s="15" t="n"/>
      <c r="H257" s="15" t="n"/>
      <c r="I257" s="16" t="n"/>
      <c r="J257" s="16" t="n"/>
      <c r="K257" s="12">
        <f>IF(A257="","",SUMIF(Sales!$C$2:$C$501,A257,Sales!$E$2:$E$501))</f>
        <v/>
      </c>
      <c r="L257" s="12">
        <f>IF(A257="","",H257-K257)</f>
        <v/>
      </c>
      <c r="M257" s="13">
        <f>IF(A257="","",ROUND(L257*I257,2))</f>
        <v/>
      </c>
      <c r="N257" s="13">
        <f>IF(A257="","",ROUND(L257*J257,2))</f>
        <v/>
      </c>
      <c r="O257" s="15" t="n"/>
      <c r="P257" s="12">
        <f>IF(A257="","",IF(COUNTIF($A$2:$A$501,A257)&gt;1,"Duplicate lot ID",IF(OR(B257="",H257="",I257="",J257=""),"Complete required fields",IF(L257&lt;0,"OVER SOLD","OK"))))</f>
        <v/>
      </c>
    </row>
    <row r="258" ht="23" customHeight="1">
      <c r="A258" s="9" t="n"/>
      <c r="B258" s="10" t="n"/>
      <c r="C258" s="10" t="n"/>
      <c r="D258" s="10" t="n"/>
      <c r="E258" s="10" t="n"/>
      <c r="F258" s="9" t="n"/>
      <c r="G258" s="10" t="n"/>
      <c r="H258" s="10" t="n"/>
      <c r="I258" s="11" t="n"/>
      <c r="J258" s="11" t="n"/>
      <c r="K258" s="12">
        <f>IF(A258="","",SUMIF(Sales!$C$2:$C$501,A258,Sales!$E$2:$E$501))</f>
        <v/>
      </c>
      <c r="L258" s="12">
        <f>IF(A258="","",H258-K258)</f>
        <v/>
      </c>
      <c r="M258" s="13">
        <f>IF(A258="","",ROUND(L258*I258,2))</f>
        <v/>
      </c>
      <c r="N258" s="13">
        <f>IF(A258="","",ROUND(L258*J258,2))</f>
        <v/>
      </c>
      <c r="O258" s="10" t="n"/>
      <c r="P258" s="12">
        <f>IF(A258="","",IF(COUNTIF($A$2:$A$501,A258)&gt;1,"Duplicate lot ID",IF(OR(B258="",H258="",I258="",J258=""),"Complete required fields",IF(L258&lt;0,"OVER SOLD","OK"))))</f>
        <v/>
      </c>
    </row>
    <row r="259" ht="23" customHeight="1">
      <c r="A259" s="14" t="n"/>
      <c r="B259" s="15" t="n"/>
      <c r="C259" s="15" t="n"/>
      <c r="D259" s="15" t="n"/>
      <c r="E259" s="15" t="n"/>
      <c r="F259" s="14" t="n"/>
      <c r="G259" s="15" t="n"/>
      <c r="H259" s="15" t="n"/>
      <c r="I259" s="16" t="n"/>
      <c r="J259" s="16" t="n"/>
      <c r="K259" s="12">
        <f>IF(A259="","",SUMIF(Sales!$C$2:$C$501,A259,Sales!$E$2:$E$501))</f>
        <v/>
      </c>
      <c r="L259" s="12">
        <f>IF(A259="","",H259-K259)</f>
        <v/>
      </c>
      <c r="M259" s="13">
        <f>IF(A259="","",ROUND(L259*I259,2))</f>
        <v/>
      </c>
      <c r="N259" s="13">
        <f>IF(A259="","",ROUND(L259*J259,2))</f>
        <v/>
      </c>
      <c r="O259" s="15" t="n"/>
      <c r="P259" s="12">
        <f>IF(A259="","",IF(COUNTIF($A$2:$A$501,A259)&gt;1,"Duplicate lot ID",IF(OR(B259="",H259="",I259="",J259=""),"Complete required fields",IF(L259&lt;0,"OVER SOLD","OK"))))</f>
        <v/>
      </c>
    </row>
    <row r="260" ht="23" customHeight="1">
      <c r="A260" s="9" t="n"/>
      <c r="B260" s="10" t="n"/>
      <c r="C260" s="10" t="n"/>
      <c r="D260" s="10" t="n"/>
      <c r="E260" s="10" t="n"/>
      <c r="F260" s="9" t="n"/>
      <c r="G260" s="10" t="n"/>
      <c r="H260" s="10" t="n"/>
      <c r="I260" s="11" t="n"/>
      <c r="J260" s="11" t="n"/>
      <c r="K260" s="12">
        <f>IF(A260="","",SUMIF(Sales!$C$2:$C$501,A260,Sales!$E$2:$E$501))</f>
        <v/>
      </c>
      <c r="L260" s="12">
        <f>IF(A260="","",H260-K260)</f>
        <v/>
      </c>
      <c r="M260" s="13">
        <f>IF(A260="","",ROUND(L260*I260,2))</f>
        <v/>
      </c>
      <c r="N260" s="13">
        <f>IF(A260="","",ROUND(L260*J260,2))</f>
        <v/>
      </c>
      <c r="O260" s="10" t="n"/>
      <c r="P260" s="12">
        <f>IF(A260="","",IF(COUNTIF($A$2:$A$501,A260)&gt;1,"Duplicate lot ID",IF(OR(B260="",H260="",I260="",J260=""),"Complete required fields",IF(L260&lt;0,"OVER SOLD","OK"))))</f>
        <v/>
      </c>
    </row>
    <row r="261" ht="23" customHeight="1">
      <c r="A261" s="14" t="n"/>
      <c r="B261" s="15" t="n"/>
      <c r="C261" s="15" t="n"/>
      <c r="D261" s="15" t="n"/>
      <c r="E261" s="15" t="n"/>
      <c r="F261" s="14" t="n"/>
      <c r="G261" s="15" t="n"/>
      <c r="H261" s="15" t="n"/>
      <c r="I261" s="16" t="n"/>
      <c r="J261" s="16" t="n"/>
      <c r="K261" s="12">
        <f>IF(A261="","",SUMIF(Sales!$C$2:$C$501,A261,Sales!$E$2:$E$501))</f>
        <v/>
      </c>
      <c r="L261" s="12">
        <f>IF(A261="","",H261-K261)</f>
        <v/>
      </c>
      <c r="M261" s="13">
        <f>IF(A261="","",ROUND(L261*I261,2))</f>
        <v/>
      </c>
      <c r="N261" s="13">
        <f>IF(A261="","",ROUND(L261*J261,2))</f>
        <v/>
      </c>
      <c r="O261" s="15" t="n"/>
      <c r="P261" s="12">
        <f>IF(A261="","",IF(COUNTIF($A$2:$A$501,A261)&gt;1,"Duplicate lot ID",IF(OR(B261="",H261="",I261="",J261=""),"Complete required fields",IF(L261&lt;0,"OVER SOLD","OK"))))</f>
        <v/>
      </c>
    </row>
    <row r="262" ht="23" customHeight="1">
      <c r="A262" s="9" t="n"/>
      <c r="B262" s="10" t="n"/>
      <c r="C262" s="10" t="n"/>
      <c r="D262" s="10" t="n"/>
      <c r="E262" s="10" t="n"/>
      <c r="F262" s="9" t="n"/>
      <c r="G262" s="10" t="n"/>
      <c r="H262" s="10" t="n"/>
      <c r="I262" s="11" t="n"/>
      <c r="J262" s="11" t="n"/>
      <c r="K262" s="12">
        <f>IF(A262="","",SUMIF(Sales!$C$2:$C$501,A262,Sales!$E$2:$E$501))</f>
        <v/>
      </c>
      <c r="L262" s="12">
        <f>IF(A262="","",H262-K262)</f>
        <v/>
      </c>
      <c r="M262" s="13">
        <f>IF(A262="","",ROUND(L262*I262,2))</f>
        <v/>
      </c>
      <c r="N262" s="13">
        <f>IF(A262="","",ROUND(L262*J262,2))</f>
        <v/>
      </c>
      <c r="O262" s="10" t="n"/>
      <c r="P262" s="12">
        <f>IF(A262="","",IF(COUNTIF($A$2:$A$501,A262)&gt;1,"Duplicate lot ID",IF(OR(B262="",H262="",I262="",J262=""),"Complete required fields",IF(L262&lt;0,"OVER SOLD","OK"))))</f>
        <v/>
      </c>
    </row>
    <row r="263" ht="23" customHeight="1">
      <c r="A263" s="14" t="n"/>
      <c r="B263" s="15" t="n"/>
      <c r="C263" s="15" t="n"/>
      <c r="D263" s="15" t="n"/>
      <c r="E263" s="15" t="n"/>
      <c r="F263" s="14" t="n"/>
      <c r="G263" s="15" t="n"/>
      <c r="H263" s="15" t="n"/>
      <c r="I263" s="16" t="n"/>
      <c r="J263" s="16" t="n"/>
      <c r="K263" s="12">
        <f>IF(A263="","",SUMIF(Sales!$C$2:$C$501,A263,Sales!$E$2:$E$501))</f>
        <v/>
      </c>
      <c r="L263" s="12">
        <f>IF(A263="","",H263-K263)</f>
        <v/>
      </c>
      <c r="M263" s="13">
        <f>IF(A263="","",ROUND(L263*I263,2))</f>
        <v/>
      </c>
      <c r="N263" s="13">
        <f>IF(A263="","",ROUND(L263*J263,2))</f>
        <v/>
      </c>
      <c r="O263" s="15" t="n"/>
      <c r="P263" s="12">
        <f>IF(A263="","",IF(COUNTIF($A$2:$A$501,A263)&gt;1,"Duplicate lot ID",IF(OR(B263="",H263="",I263="",J263=""),"Complete required fields",IF(L263&lt;0,"OVER SOLD","OK"))))</f>
        <v/>
      </c>
    </row>
    <row r="264" ht="23" customHeight="1">
      <c r="A264" s="9" t="n"/>
      <c r="B264" s="10" t="n"/>
      <c r="C264" s="10" t="n"/>
      <c r="D264" s="10" t="n"/>
      <c r="E264" s="10" t="n"/>
      <c r="F264" s="9" t="n"/>
      <c r="G264" s="10" t="n"/>
      <c r="H264" s="10" t="n"/>
      <c r="I264" s="11" t="n"/>
      <c r="J264" s="11" t="n"/>
      <c r="K264" s="12">
        <f>IF(A264="","",SUMIF(Sales!$C$2:$C$501,A264,Sales!$E$2:$E$501))</f>
        <v/>
      </c>
      <c r="L264" s="12">
        <f>IF(A264="","",H264-K264)</f>
        <v/>
      </c>
      <c r="M264" s="13">
        <f>IF(A264="","",ROUND(L264*I264,2))</f>
        <v/>
      </c>
      <c r="N264" s="13">
        <f>IF(A264="","",ROUND(L264*J264,2))</f>
        <v/>
      </c>
      <c r="O264" s="10" t="n"/>
      <c r="P264" s="12">
        <f>IF(A264="","",IF(COUNTIF($A$2:$A$501,A264)&gt;1,"Duplicate lot ID",IF(OR(B264="",H264="",I264="",J264=""),"Complete required fields",IF(L264&lt;0,"OVER SOLD","OK"))))</f>
        <v/>
      </c>
    </row>
    <row r="265" ht="23" customHeight="1">
      <c r="A265" s="14" t="n"/>
      <c r="B265" s="15" t="n"/>
      <c r="C265" s="15" t="n"/>
      <c r="D265" s="15" t="n"/>
      <c r="E265" s="15" t="n"/>
      <c r="F265" s="14" t="n"/>
      <c r="G265" s="15" t="n"/>
      <c r="H265" s="15" t="n"/>
      <c r="I265" s="16" t="n"/>
      <c r="J265" s="16" t="n"/>
      <c r="K265" s="12">
        <f>IF(A265="","",SUMIF(Sales!$C$2:$C$501,A265,Sales!$E$2:$E$501))</f>
        <v/>
      </c>
      <c r="L265" s="12">
        <f>IF(A265="","",H265-K265)</f>
        <v/>
      </c>
      <c r="M265" s="13">
        <f>IF(A265="","",ROUND(L265*I265,2))</f>
        <v/>
      </c>
      <c r="N265" s="13">
        <f>IF(A265="","",ROUND(L265*J265,2))</f>
        <v/>
      </c>
      <c r="O265" s="15" t="n"/>
      <c r="P265" s="12">
        <f>IF(A265="","",IF(COUNTIF($A$2:$A$501,A265)&gt;1,"Duplicate lot ID",IF(OR(B265="",H265="",I265="",J265=""),"Complete required fields",IF(L265&lt;0,"OVER SOLD","OK"))))</f>
        <v/>
      </c>
    </row>
    <row r="266" ht="23" customHeight="1">
      <c r="A266" s="9" t="n"/>
      <c r="B266" s="10" t="n"/>
      <c r="C266" s="10" t="n"/>
      <c r="D266" s="10" t="n"/>
      <c r="E266" s="10" t="n"/>
      <c r="F266" s="9" t="n"/>
      <c r="G266" s="10" t="n"/>
      <c r="H266" s="10" t="n"/>
      <c r="I266" s="11" t="n"/>
      <c r="J266" s="11" t="n"/>
      <c r="K266" s="12">
        <f>IF(A266="","",SUMIF(Sales!$C$2:$C$501,A266,Sales!$E$2:$E$501))</f>
        <v/>
      </c>
      <c r="L266" s="12">
        <f>IF(A266="","",H266-K266)</f>
        <v/>
      </c>
      <c r="M266" s="13">
        <f>IF(A266="","",ROUND(L266*I266,2))</f>
        <v/>
      </c>
      <c r="N266" s="13">
        <f>IF(A266="","",ROUND(L266*J266,2))</f>
        <v/>
      </c>
      <c r="O266" s="10" t="n"/>
      <c r="P266" s="12">
        <f>IF(A266="","",IF(COUNTIF($A$2:$A$501,A266)&gt;1,"Duplicate lot ID",IF(OR(B266="",H266="",I266="",J266=""),"Complete required fields",IF(L266&lt;0,"OVER SOLD","OK"))))</f>
        <v/>
      </c>
    </row>
    <row r="267" ht="23" customHeight="1">
      <c r="A267" s="14" t="n"/>
      <c r="B267" s="15" t="n"/>
      <c r="C267" s="15" t="n"/>
      <c r="D267" s="15" t="n"/>
      <c r="E267" s="15" t="n"/>
      <c r="F267" s="14" t="n"/>
      <c r="G267" s="15" t="n"/>
      <c r="H267" s="15" t="n"/>
      <c r="I267" s="16" t="n"/>
      <c r="J267" s="16" t="n"/>
      <c r="K267" s="12">
        <f>IF(A267="","",SUMIF(Sales!$C$2:$C$501,A267,Sales!$E$2:$E$501))</f>
        <v/>
      </c>
      <c r="L267" s="12">
        <f>IF(A267="","",H267-K267)</f>
        <v/>
      </c>
      <c r="M267" s="13">
        <f>IF(A267="","",ROUND(L267*I267,2))</f>
        <v/>
      </c>
      <c r="N267" s="13">
        <f>IF(A267="","",ROUND(L267*J267,2))</f>
        <v/>
      </c>
      <c r="O267" s="15" t="n"/>
      <c r="P267" s="12">
        <f>IF(A267="","",IF(COUNTIF($A$2:$A$501,A267)&gt;1,"Duplicate lot ID",IF(OR(B267="",H267="",I267="",J267=""),"Complete required fields",IF(L267&lt;0,"OVER SOLD","OK"))))</f>
        <v/>
      </c>
    </row>
    <row r="268" ht="23" customHeight="1">
      <c r="A268" s="9" t="n"/>
      <c r="B268" s="10" t="n"/>
      <c r="C268" s="10" t="n"/>
      <c r="D268" s="10" t="n"/>
      <c r="E268" s="10" t="n"/>
      <c r="F268" s="9" t="n"/>
      <c r="G268" s="10" t="n"/>
      <c r="H268" s="10" t="n"/>
      <c r="I268" s="11" t="n"/>
      <c r="J268" s="11" t="n"/>
      <c r="K268" s="12">
        <f>IF(A268="","",SUMIF(Sales!$C$2:$C$501,A268,Sales!$E$2:$E$501))</f>
        <v/>
      </c>
      <c r="L268" s="12">
        <f>IF(A268="","",H268-K268)</f>
        <v/>
      </c>
      <c r="M268" s="13">
        <f>IF(A268="","",ROUND(L268*I268,2))</f>
        <v/>
      </c>
      <c r="N268" s="13">
        <f>IF(A268="","",ROUND(L268*J268,2))</f>
        <v/>
      </c>
      <c r="O268" s="10" t="n"/>
      <c r="P268" s="12">
        <f>IF(A268="","",IF(COUNTIF($A$2:$A$501,A268)&gt;1,"Duplicate lot ID",IF(OR(B268="",H268="",I268="",J268=""),"Complete required fields",IF(L268&lt;0,"OVER SOLD","OK"))))</f>
        <v/>
      </c>
    </row>
    <row r="269" ht="23" customHeight="1">
      <c r="A269" s="14" t="n"/>
      <c r="B269" s="15" t="n"/>
      <c r="C269" s="15" t="n"/>
      <c r="D269" s="15" t="n"/>
      <c r="E269" s="15" t="n"/>
      <c r="F269" s="14" t="n"/>
      <c r="G269" s="15" t="n"/>
      <c r="H269" s="15" t="n"/>
      <c r="I269" s="16" t="n"/>
      <c r="J269" s="16" t="n"/>
      <c r="K269" s="12">
        <f>IF(A269="","",SUMIF(Sales!$C$2:$C$501,A269,Sales!$E$2:$E$501))</f>
        <v/>
      </c>
      <c r="L269" s="12">
        <f>IF(A269="","",H269-K269)</f>
        <v/>
      </c>
      <c r="M269" s="13">
        <f>IF(A269="","",ROUND(L269*I269,2))</f>
        <v/>
      </c>
      <c r="N269" s="13">
        <f>IF(A269="","",ROUND(L269*J269,2))</f>
        <v/>
      </c>
      <c r="O269" s="15" t="n"/>
      <c r="P269" s="12">
        <f>IF(A269="","",IF(COUNTIF($A$2:$A$501,A269)&gt;1,"Duplicate lot ID",IF(OR(B269="",H269="",I269="",J269=""),"Complete required fields",IF(L269&lt;0,"OVER SOLD","OK"))))</f>
        <v/>
      </c>
    </row>
    <row r="270" ht="23" customHeight="1">
      <c r="A270" s="9" t="n"/>
      <c r="B270" s="10" t="n"/>
      <c r="C270" s="10" t="n"/>
      <c r="D270" s="10" t="n"/>
      <c r="E270" s="10" t="n"/>
      <c r="F270" s="9" t="n"/>
      <c r="G270" s="10" t="n"/>
      <c r="H270" s="10" t="n"/>
      <c r="I270" s="11" t="n"/>
      <c r="J270" s="11" t="n"/>
      <c r="K270" s="12">
        <f>IF(A270="","",SUMIF(Sales!$C$2:$C$501,A270,Sales!$E$2:$E$501))</f>
        <v/>
      </c>
      <c r="L270" s="12">
        <f>IF(A270="","",H270-K270)</f>
        <v/>
      </c>
      <c r="M270" s="13">
        <f>IF(A270="","",ROUND(L270*I270,2))</f>
        <v/>
      </c>
      <c r="N270" s="13">
        <f>IF(A270="","",ROUND(L270*J270,2))</f>
        <v/>
      </c>
      <c r="O270" s="10" t="n"/>
      <c r="P270" s="12">
        <f>IF(A270="","",IF(COUNTIF($A$2:$A$501,A270)&gt;1,"Duplicate lot ID",IF(OR(B270="",H270="",I270="",J270=""),"Complete required fields",IF(L270&lt;0,"OVER SOLD","OK"))))</f>
        <v/>
      </c>
    </row>
    <row r="271" ht="23" customHeight="1">
      <c r="A271" s="14" t="n"/>
      <c r="B271" s="15" t="n"/>
      <c r="C271" s="15" t="n"/>
      <c r="D271" s="15" t="n"/>
      <c r="E271" s="15" t="n"/>
      <c r="F271" s="14" t="n"/>
      <c r="G271" s="15" t="n"/>
      <c r="H271" s="15" t="n"/>
      <c r="I271" s="16" t="n"/>
      <c r="J271" s="16" t="n"/>
      <c r="K271" s="12">
        <f>IF(A271="","",SUMIF(Sales!$C$2:$C$501,A271,Sales!$E$2:$E$501))</f>
        <v/>
      </c>
      <c r="L271" s="12">
        <f>IF(A271="","",H271-K271)</f>
        <v/>
      </c>
      <c r="M271" s="13">
        <f>IF(A271="","",ROUND(L271*I271,2))</f>
        <v/>
      </c>
      <c r="N271" s="13">
        <f>IF(A271="","",ROUND(L271*J271,2))</f>
        <v/>
      </c>
      <c r="O271" s="15" t="n"/>
      <c r="P271" s="12">
        <f>IF(A271="","",IF(COUNTIF($A$2:$A$501,A271)&gt;1,"Duplicate lot ID",IF(OR(B271="",H271="",I271="",J271=""),"Complete required fields",IF(L271&lt;0,"OVER SOLD","OK"))))</f>
        <v/>
      </c>
    </row>
    <row r="272" ht="23" customHeight="1">
      <c r="A272" s="9" t="n"/>
      <c r="B272" s="10" t="n"/>
      <c r="C272" s="10" t="n"/>
      <c r="D272" s="10" t="n"/>
      <c r="E272" s="10" t="n"/>
      <c r="F272" s="9" t="n"/>
      <c r="G272" s="10" t="n"/>
      <c r="H272" s="10" t="n"/>
      <c r="I272" s="11" t="n"/>
      <c r="J272" s="11" t="n"/>
      <c r="K272" s="12">
        <f>IF(A272="","",SUMIF(Sales!$C$2:$C$501,A272,Sales!$E$2:$E$501))</f>
        <v/>
      </c>
      <c r="L272" s="12">
        <f>IF(A272="","",H272-K272)</f>
        <v/>
      </c>
      <c r="M272" s="13">
        <f>IF(A272="","",ROUND(L272*I272,2))</f>
        <v/>
      </c>
      <c r="N272" s="13">
        <f>IF(A272="","",ROUND(L272*J272,2))</f>
        <v/>
      </c>
      <c r="O272" s="10" t="n"/>
      <c r="P272" s="12">
        <f>IF(A272="","",IF(COUNTIF($A$2:$A$501,A272)&gt;1,"Duplicate lot ID",IF(OR(B272="",H272="",I272="",J272=""),"Complete required fields",IF(L272&lt;0,"OVER SOLD","OK"))))</f>
        <v/>
      </c>
    </row>
    <row r="273" ht="23" customHeight="1">
      <c r="A273" s="14" t="n"/>
      <c r="B273" s="15" t="n"/>
      <c r="C273" s="15" t="n"/>
      <c r="D273" s="15" t="n"/>
      <c r="E273" s="15" t="n"/>
      <c r="F273" s="14" t="n"/>
      <c r="G273" s="15" t="n"/>
      <c r="H273" s="15" t="n"/>
      <c r="I273" s="16" t="n"/>
      <c r="J273" s="16" t="n"/>
      <c r="K273" s="12">
        <f>IF(A273="","",SUMIF(Sales!$C$2:$C$501,A273,Sales!$E$2:$E$501))</f>
        <v/>
      </c>
      <c r="L273" s="12">
        <f>IF(A273="","",H273-K273)</f>
        <v/>
      </c>
      <c r="M273" s="13">
        <f>IF(A273="","",ROUND(L273*I273,2))</f>
        <v/>
      </c>
      <c r="N273" s="13">
        <f>IF(A273="","",ROUND(L273*J273,2))</f>
        <v/>
      </c>
      <c r="O273" s="15" t="n"/>
      <c r="P273" s="12">
        <f>IF(A273="","",IF(COUNTIF($A$2:$A$501,A273)&gt;1,"Duplicate lot ID",IF(OR(B273="",H273="",I273="",J273=""),"Complete required fields",IF(L273&lt;0,"OVER SOLD","OK"))))</f>
        <v/>
      </c>
    </row>
    <row r="274" ht="23" customHeight="1">
      <c r="A274" s="9" t="n"/>
      <c r="B274" s="10" t="n"/>
      <c r="C274" s="10" t="n"/>
      <c r="D274" s="10" t="n"/>
      <c r="E274" s="10" t="n"/>
      <c r="F274" s="9" t="n"/>
      <c r="G274" s="10" t="n"/>
      <c r="H274" s="10" t="n"/>
      <c r="I274" s="11" t="n"/>
      <c r="J274" s="11" t="n"/>
      <c r="K274" s="12">
        <f>IF(A274="","",SUMIF(Sales!$C$2:$C$501,A274,Sales!$E$2:$E$501))</f>
        <v/>
      </c>
      <c r="L274" s="12">
        <f>IF(A274="","",H274-K274)</f>
        <v/>
      </c>
      <c r="M274" s="13">
        <f>IF(A274="","",ROUND(L274*I274,2))</f>
        <v/>
      </c>
      <c r="N274" s="13">
        <f>IF(A274="","",ROUND(L274*J274,2))</f>
        <v/>
      </c>
      <c r="O274" s="10" t="n"/>
      <c r="P274" s="12">
        <f>IF(A274="","",IF(COUNTIF($A$2:$A$501,A274)&gt;1,"Duplicate lot ID",IF(OR(B274="",H274="",I274="",J274=""),"Complete required fields",IF(L274&lt;0,"OVER SOLD","OK"))))</f>
        <v/>
      </c>
    </row>
    <row r="275" ht="23" customHeight="1">
      <c r="A275" s="14" t="n"/>
      <c r="B275" s="15" t="n"/>
      <c r="C275" s="15" t="n"/>
      <c r="D275" s="15" t="n"/>
      <c r="E275" s="15" t="n"/>
      <c r="F275" s="14" t="n"/>
      <c r="G275" s="15" t="n"/>
      <c r="H275" s="15" t="n"/>
      <c r="I275" s="16" t="n"/>
      <c r="J275" s="16" t="n"/>
      <c r="K275" s="12">
        <f>IF(A275="","",SUMIF(Sales!$C$2:$C$501,A275,Sales!$E$2:$E$501))</f>
        <v/>
      </c>
      <c r="L275" s="12">
        <f>IF(A275="","",H275-K275)</f>
        <v/>
      </c>
      <c r="M275" s="13">
        <f>IF(A275="","",ROUND(L275*I275,2))</f>
        <v/>
      </c>
      <c r="N275" s="13">
        <f>IF(A275="","",ROUND(L275*J275,2))</f>
        <v/>
      </c>
      <c r="O275" s="15" t="n"/>
      <c r="P275" s="12">
        <f>IF(A275="","",IF(COUNTIF($A$2:$A$501,A275)&gt;1,"Duplicate lot ID",IF(OR(B275="",H275="",I275="",J275=""),"Complete required fields",IF(L275&lt;0,"OVER SOLD","OK"))))</f>
        <v/>
      </c>
    </row>
    <row r="276" ht="23" customHeight="1">
      <c r="A276" s="9" t="n"/>
      <c r="B276" s="10" t="n"/>
      <c r="C276" s="10" t="n"/>
      <c r="D276" s="10" t="n"/>
      <c r="E276" s="10" t="n"/>
      <c r="F276" s="9" t="n"/>
      <c r="G276" s="10" t="n"/>
      <c r="H276" s="10" t="n"/>
      <c r="I276" s="11" t="n"/>
      <c r="J276" s="11" t="n"/>
      <c r="K276" s="12">
        <f>IF(A276="","",SUMIF(Sales!$C$2:$C$501,A276,Sales!$E$2:$E$501))</f>
        <v/>
      </c>
      <c r="L276" s="12">
        <f>IF(A276="","",H276-K276)</f>
        <v/>
      </c>
      <c r="M276" s="13">
        <f>IF(A276="","",ROUND(L276*I276,2))</f>
        <v/>
      </c>
      <c r="N276" s="13">
        <f>IF(A276="","",ROUND(L276*J276,2))</f>
        <v/>
      </c>
      <c r="O276" s="10" t="n"/>
      <c r="P276" s="12">
        <f>IF(A276="","",IF(COUNTIF($A$2:$A$501,A276)&gt;1,"Duplicate lot ID",IF(OR(B276="",H276="",I276="",J276=""),"Complete required fields",IF(L276&lt;0,"OVER SOLD","OK"))))</f>
        <v/>
      </c>
    </row>
    <row r="277" ht="23" customHeight="1">
      <c r="A277" s="14" t="n"/>
      <c r="B277" s="15" t="n"/>
      <c r="C277" s="15" t="n"/>
      <c r="D277" s="15" t="n"/>
      <c r="E277" s="15" t="n"/>
      <c r="F277" s="14" t="n"/>
      <c r="G277" s="15" t="n"/>
      <c r="H277" s="15" t="n"/>
      <c r="I277" s="16" t="n"/>
      <c r="J277" s="16" t="n"/>
      <c r="K277" s="12">
        <f>IF(A277="","",SUMIF(Sales!$C$2:$C$501,A277,Sales!$E$2:$E$501))</f>
        <v/>
      </c>
      <c r="L277" s="12">
        <f>IF(A277="","",H277-K277)</f>
        <v/>
      </c>
      <c r="M277" s="13">
        <f>IF(A277="","",ROUND(L277*I277,2))</f>
        <v/>
      </c>
      <c r="N277" s="13">
        <f>IF(A277="","",ROUND(L277*J277,2))</f>
        <v/>
      </c>
      <c r="O277" s="15" t="n"/>
      <c r="P277" s="12">
        <f>IF(A277="","",IF(COUNTIF($A$2:$A$501,A277)&gt;1,"Duplicate lot ID",IF(OR(B277="",H277="",I277="",J277=""),"Complete required fields",IF(L277&lt;0,"OVER SOLD","OK"))))</f>
        <v/>
      </c>
    </row>
    <row r="278" ht="23" customHeight="1">
      <c r="A278" s="9" t="n"/>
      <c r="B278" s="10" t="n"/>
      <c r="C278" s="10" t="n"/>
      <c r="D278" s="10" t="n"/>
      <c r="E278" s="10" t="n"/>
      <c r="F278" s="9" t="n"/>
      <c r="G278" s="10" t="n"/>
      <c r="H278" s="10" t="n"/>
      <c r="I278" s="11" t="n"/>
      <c r="J278" s="11" t="n"/>
      <c r="K278" s="12">
        <f>IF(A278="","",SUMIF(Sales!$C$2:$C$501,A278,Sales!$E$2:$E$501))</f>
        <v/>
      </c>
      <c r="L278" s="12">
        <f>IF(A278="","",H278-K278)</f>
        <v/>
      </c>
      <c r="M278" s="13">
        <f>IF(A278="","",ROUND(L278*I278,2))</f>
        <v/>
      </c>
      <c r="N278" s="13">
        <f>IF(A278="","",ROUND(L278*J278,2))</f>
        <v/>
      </c>
      <c r="O278" s="10" t="n"/>
      <c r="P278" s="12">
        <f>IF(A278="","",IF(COUNTIF($A$2:$A$501,A278)&gt;1,"Duplicate lot ID",IF(OR(B278="",H278="",I278="",J278=""),"Complete required fields",IF(L278&lt;0,"OVER SOLD","OK"))))</f>
        <v/>
      </c>
    </row>
    <row r="279" ht="23" customHeight="1">
      <c r="A279" s="14" t="n"/>
      <c r="B279" s="15" t="n"/>
      <c r="C279" s="15" t="n"/>
      <c r="D279" s="15" t="n"/>
      <c r="E279" s="15" t="n"/>
      <c r="F279" s="14" t="n"/>
      <c r="G279" s="15" t="n"/>
      <c r="H279" s="15" t="n"/>
      <c r="I279" s="16" t="n"/>
      <c r="J279" s="16" t="n"/>
      <c r="K279" s="12">
        <f>IF(A279="","",SUMIF(Sales!$C$2:$C$501,A279,Sales!$E$2:$E$501))</f>
        <v/>
      </c>
      <c r="L279" s="12">
        <f>IF(A279="","",H279-K279)</f>
        <v/>
      </c>
      <c r="M279" s="13">
        <f>IF(A279="","",ROUND(L279*I279,2))</f>
        <v/>
      </c>
      <c r="N279" s="13">
        <f>IF(A279="","",ROUND(L279*J279,2))</f>
        <v/>
      </c>
      <c r="O279" s="15" t="n"/>
      <c r="P279" s="12">
        <f>IF(A279="","",IF(COUNTIF($A$2:$A$501,A279)&gt;1,"Duplicate lot ID",IF(OR(B279="",H279="",I279="",J279=""),"Complete required fields",IF(L279&lt;0,"OVER SOLD","OK"))))</f>
        <v/>
      </c>
    </row>
    <row r="280" ht="23" customHeight="1">
      <c r="A280" s="9" t="n"/>
      <c r="B280" s="10" t="n"/>
      <c r="C280" s="10" t="n"/>
      <c r="D280" s="10" t="n"/>
      <c r="E280" s="10" t="n"/>
      <c r="F280" s="9" t="n"/>
      <c r="G280" s="10" t="n"/>
      <c r="H280" s="10" t="n"/>
      <c r="I280" s="11" t="n"/>
      <c r="J280" s="11" t="n"/>
      <c r="K280" s="12">
        <f>IF(A280="","",SUMIF(Sales!$C$2:$C$501,A280,Sales!$E$2:$E$501))</f>
        <v/>
      </c>
      <c r="L280" s="12">
        <f>IF(A280="","",H280-K280)</f>
        <v/>
      </c>
      <c r="M280" s="13">
        <f>IF(A280="","",ROUND(L280*I280,2))</f>
        <v/>
      </c>
      <c r="N280" s="13">
        <f>IF(A280="","",ROUND(L280*J280,2))</f>
        <v/>
      </c>
      <c r="O280" s="10" t="n"/>
      <c r="P280" s="12">
        <f>IF(A280="","",IF(COUNTIF($A$2:$A$501,A280)&gt;1,"Duplicate lot ID",IF(OR(B280="",H280="",I280="",J280=""),"Complete required fields",IF(L280&lt;0,"OVER SOLD","OK"))))</f>
        <v/>
      </c>
    </row>
    <row r="281" ht="23" customHeight="1">
      <c r="A281" s="14" t="n"/>
      <c r="B281" s="15" t="n"/>
      <c r="C281" s="15" t="n"/>
      <c r="D281" s="15" t="n"/>
      <c r="E281" s="15" t="n"/>
      <c r="F281" s="14" t="n"/>
      <c r="G281" s="15" t="n"/>
      <c r="H281" s="15" t="n"/>
      <c r="I281" s="16" t="n"/>
      <c r="J281" s="16" t="n"/>
      <c r="K281" s="12">
        <f>IF(A281="","",SUMIF(Sales!$C$2:$C$501,A281,Sales!$E$2:$E$501))</f>
        <v/>
      </c>
      <c r="L281" s="12">
        <f>IF(A281="","",H281-K281)</f>
        <v/>
      </c>
      <c r="M281" s="13">
        <f>IF(A281="","",ROUND(L281*I281,2))</f>
        <v/>
      </c>
      <c r="N281" s="13">
        <f>IF(A281="","",ROUND(L281*J281,2))</f>
        <v/>
      </c>
      <c r="O281" s="15" t="n"/>
      <c r="P281" s="12">
        <f>IF(A281="","",IF(COUNTIF($A$2:$A$501,A281)&gt;1,"Duplicate lot ID",IF(OR(B281="",H281="",I281="",J281=""),"Complete required fields",IF(L281&lt;0,"OVER SOLD","OK"))))</f>
        <v/>
      </c>
    </row>
    <row r="282" ht="23" customHeight="1">
      <c r="A282" s="9" t="n"/>
      <c r="B282" s="10" t="n"/>
      <c r="C282" s="10" t="n"/>
      <c r="D282" s="10" t="n"/>
      <c r="E282" s="10" t="n"/>
      <c r="F282" s="9" t="n"/>
      <c r="G282" s="10" t="n"/>
      <c r="H282" s="10" t="n"/>
      <c r="I282" s="11" t="n"/>
      <c r="J282" s="11" t="n"/>
      <c r="K282" s="12">
        <f>IF(A282="","",SUMIF(Sales!$C$2:$C$501,A282,Sales!$E$2:$E$501))</f>
        <v/>
      </c>
      <c r="L282" s="12">
        <f>IF(A282="","",H282-K282)</f>
        <v/>
      </c>
      <c r="M282" s="13">
        <f>IF(A282="","",ROUND(L282*I282,2))</f>
        <v/>
      </c>
      <c r="N282" s="13">
        <f>IF(A282="","",ROUND(L282*J282,2))</f>
        <v/>
      </c>
      <c r="O282" s="10" t="n"/>
      <c r="P282" s="12">
        <f>IF(A282="","",IF(COUNTIF($A$2:$A$501,A282)&gt;1,"Duplicate lot ID",IF(OR(B282="",H282="",I282="",J282=""),"Complete required fields",IF(L282&lt;0,"OVER SOLD","OK"))))</f>
        <v/>
      </c>
    </row>
    <row r="283" ht="23" customHeight="1">
      <c r="A283" s="14" t="n"/>
      <c r="B283" s="15" t="n"/>
      <c r="C283" s="15" t="n"/>
      <c r="D283" s="15" t="n"/>
      <c r="E283" s="15" t="n"/>
      <c r="F283" s="14" t="n"/>
      <c r="G283" s="15" t="n"/>
      <c r="H283" s="15" t="n"/>
      <c r="I283" s="16" t="n"/>
      <c r="J283" s="16" t="n"/>
      <c r="K283" s="12">
        <f>IF(A283="","",SUMIF(Sales!$C$2:$C$501,A283,Sales!$E$2:$E$501))</f>
        <v/>
      </c>
      <c r="L283" s="12">
        <f>IF(A283="","",H283-K283)</f>
        <v/>
      </c>
      <c r="M283" s="13">
        <f>IF(A283="","",ROUND(L283*I283,2))</f>
        <v/>
      </c>
      <c r="N283" s="13">
        <f>IF(A283="","",ROUND(L283*J283,2))</f>
        <v/>
      </c>
      <c r="O283" s="15" t="n"/>
      <c r="P283" s="12">
        <f>IF(A283="","",IF(COUNTIF($A$2:$A$501,A283)&gt;1,"Duplicate lot ID",IF(OR(B283="",H283="",I283="",J283=""),"Complete required fields",IF(L283&lt;0,"OVER SOLD","OK"))))</f>
        <v/>
      </c>
    </row>
    <row r="284" ht="23" customHeight="1">
      <c r="A284" s="9" t="n"/>
      <c r="B284" s="10" t="n"/>
      <c r="C284" s="10" t="n"/>
      <c r="D284" s="10" t="n"/>
      <c r="E284" s="10" t="n"/>
      <c r="F284" s="9" t="n"/>
      <c r="G284" s="10" t="n"/>
      <c r="H284" s="10" t="n"/>
      <c r="I284" s="11" t="n"/>
      <c r="J284" s="11" t="n"/>
      <c r="K284" s="12">
        <f>IF(A284="","",SUMIF(Sales!$C$2:$C$501,A284,Sales!$E$2:$E$501))</f>
        <v/>
      </c>
      <c r="L284" s="12">
        <f>IF(A284="","",H284-K284)</f>
        <v/>
      </c>
      <c r="M284" s="13">
        <f>IF(A284="","",ROUND(L284*I284,2))</f>
        <v/>
      </c>
      <c r="N284" s="13">
        <f>IF(A284="","",ROUND(L284*J284,2))</f>
        <v/>
      </c>
      <c r="O284" s="10" t="n"/>
      <c r="P284" s="12">
        <f>IF(A284="","",IF(COUNTIF($A$2:$A$501,A284)&gt;1,"Duplicate lot ID",IF(OR(B284="",H284="",I284="",J284=""),"Complete required fields",IF(L284&lt;0,"OVER SOLD","OK"))))</f>
        <v/>
      </c>
    </row>
    <row r="285" ht="23" customHeight="1">
      <c r="A285" s="14" t="n"/>
      <c r="B285" s="15" t="n"/>
      <c r="C285" s="15" t="n"/>
      <c r="D285" s="15" t="n"/>
      <c r="E285" s="15" t="n"/>
      <c r="F285" s="14" t="n"/>
      <c r="G285" s="15" t="n"/>
      <c r="H285" s="15" t="n"/>
      <c r="I285" s="16" t="n"/>
      <c r="J285" s="16" t="n"/>
      <c r="K285" s="12">
        <f>IF(A285="","",SUMIF(Sales!$C$2:$C$501,A285,Sales!$E$2:$E$501))</f>
        <v/>
      </c>
      <c r="L285" s="12">
        <f>IF(A285="","",H285-K285)</f>
        <v/>
      </c>
      <c r="M285" s="13">
        <f>IF(A285="","",ROUND(L285*I285,2))</f>
        <v/>
      </c>
      <c r="N285" s="13">
        <f>IF(A285="","",ROUND(L285*J285,2))</f>
        <v/>
      </c>
      <c r="O285" s="15" t="n"/>
      <c r="P285" s="12">
        <f>IF(A285="","",IF(COUNTIF($A$2:$A$501,A285)&gt;1,"Duplicate lot ID",IF(OR(B285="",H285="",I285="",J285=""),"Complete required fields",IF(L285&lt;0,"OVER SOLD","OK"))))</f>
        <v/>
      </c>
    </row>
    <row r="286" ht="23" customHeight="1">
      <c r="A286" s="9" t="n"/>
      <c r="B286" s="10" t="n"/>
      <c r="C286" s="10" t="n"/>
      <c r="D286" s="10" t="n"/>
      <c r="E286" s="10" t="n"/>
      <c r="F286" s="9" t="n"/>
      <c r="G286" s="10" t="n"/>
      <c r="H286" s="10" t="n"/>
      <c r="I286" s="11" t="n"/>
      <c r="J286" s="11" t="n"/>
      <c r="K286" s="12">
        <f>IF(A286="","",SUMIF(Sales!$C$2:$C$501,A286,Sales!$E$2:$E$501))</f>
        <v/>
      </c>
      <c r="L286" s="12">
        <f>IF(A286="","",H286-K286)</f>
        <v/>
      </c>
      <c r="M286" s="13">
        <f>IF(A286="","",ROUND(L286*I286,2))</f>
        <v/>
      </c>
      <c r="N286" s="13">
        <f>IF(A286="","",ROUND(L286*J286,2))</f>
        <v/>
      </c>
      <c r="O286" s="10" t="n"/>
      <c r="P286" s="12">
        <f>IF(A286="","",IF(COUNTIF($A$2:$A$501,A286)&gt;1,"Duplicate lot ID",IF(OR(B286="",H286="",I286="",J286=""),"Complete required fields",IF(L286&lt;0,"OVER SOLD","OK"))))</f>
        <v/>
      </c>
    </row>
    <row r="287" ht="23" customHeight="1">
      <c r="A287" s="14" t="n"/>
      <c r="B287" s="15" t="n"/>
      <c r="C287" s="15" t="n"/>
      <c r="D287" s="15" t="n"/>
      <c r="E287" s="15" t="n"/>
      <c r="F287" s="14" t="n"/>
      <c r="G287" s="15" t="n"/>
      <c r="H287" s="15" t="n"/>
      <c r="I287" s="16" t="n"/>
      <c r="J287" s="16" t="n"/>
      <c r="K287" s="12">
        <f>IF(A287="","",SUMIF(Sales!$C$2:$C$501,A287,Sales!$E$2:$E$501))</f>
        <v/>
      </c>
      <c r="L287" s="12">
        <f>IF(A287="","",H287-K287)</f>
        <v/>
      </c>
      <c r="M287" s="13">
        <f>IF(A287="","",ROUND(L287*I287,2))</f>
        <v/>
      </c>
      <c r="N287" s="13">
        <f>IF(A287="","",ROUND(L287*J287,2))</f>
        <v/>
      </c>
      <c r="O287" s="15" t="n"/>
      <c r="P287" s="12">
        <f>IF(A287="","",IF(COUNTIF($A$2:$A$501,A287)&gt;1,"Duplicate lot ID",IF(OR(B287="",H287="",I287="",J287=""),"Complete required fields",IF(L287&lt;0,"OVER SOLD","OK"))))</f>
        <v/>
      </c>
    </row>
    <row r="288" ht="23" customHeight="1">
      <c r="A288" s="9" t="n"/>
      <c r="B288" s="10" t="n"/>
      <c r="C288" s="10" t="n"/>
      <c r="D288" s="10" t="n"/>
      <c r="E288" s="10" t="n"/>
      <c r="F288" s="9" t="n"/>
      <c r="G288" s="10" t="n"/>
      <c r="H288" s="10" t="n"/>
      <c r="I288" s="11" t="n"/>
      <c r="J288" s="11" t="n"/>
      <c r="K288" s="12">
        <f>IF(A288="","",SUMIF(Sales!$C$2:$C$501,A288,Sales!$E$2:$E$501))</f>
        <v/>
      </c>
      <c r="L288" s="12">
        <f>IF(A288="","",H288-K288)</f>
        <v/>
      </c>
      <c r="M288" s="13">
        <f>IF(A288="","",ROUND(L288*I288,2))</f>
        <v/>
      </c>
      <c r="N288" s="13">
        <f>IF(A288="","",ROUND(L288*J288,2))</f>
        <v/>
      </c>
      <c r="O288" s="10" t="n"/>
      <c r="P288" s="12">
        <f>IF(A288="","",IF(COUNTIF($A$2:$A$501,A288)&gt;1,"Duplicate lot ID",IF(OR(B288="",H288="",I288="",J288=""),"Complete required fields",IF(L288&lt;0,"OVER SOLD","OK"))))</f>
        <v/>
      </c>
    </row>
    <row r="289" ht="23" customHeight="1">
      <c r="A289" s="14" t="n"/>
      <c r="B289" s="15" t="n"/>
      <c r="C289" s="15" t="n"/>
      <c r="D289" s="15" t="n"/>
      <c r="E289" s="15" t="n"/>
      <c r="F289" s="14" t="n"/>
      <c r="G289" s="15" t="n"/>
      <c r="H289" s="15" t="n"/>
      <c r="I289" s="16" t="n"/>
      <c r="J289" s="16" t="n"/>
      <c r="K289" s="12">
        <f>IF(A289="","",SUMIF(Sales!$C$2:$C$501,A289,Sales!$E$2:$E$501))</f>
        <v/>
      </c>
      <c r="L289" s="12">
        <f>IF(A289="","",H289-K289)</f>
        <v/>
      </c>
      <c r="M289" s="13">
        <f>IF(A289="","",ROUND(L289*I289,2))</f>
        <v/>
      </c>
      <c r="N289" s="13">
        <f>IF(A289="","",ROUND(L289*J289,2))</f>
        <v/>
      </c>
      <c r="O289" s="15" t="n"/>
      <c r="P289" s="12">
        <f>IF(A289="","",IF(COUNTIF($A$2:$A$501,A289)&gt;1,"Duplicate lot ID",IF(OR(B289="",H289="",I289="",J289=""),"Complete required fields",IF(L289&lt;0,"OVER SOLD","OK"))))</f>
        <v/>
      </c>
    </row>
    <row r="290" ht="23" customHeight="1">
      <c r="A290" s="9" t="n"/>
      <c r="B290" s="10" t="n"/>
      <c r="C290" s="10" t="n"/>
      <c r="D290" s="10" t="n"/>
      <c r="E290" s="10" t="n"/>
      <c r="F290" s="9" t="n"/>
      <c r="G290" s="10" t="n"/>
      <c r="H290" s="10" t="n"/>
      <c r="I290" s="11" t="n"/>
      <c r="J290" s="11" t="n"/>
      <c r="K290" s="12">
        <f>IF(A290="","",SUMIF(Sales!$C$2:$C$501,A290,Sales!$E$2:$E$501))</f>
        <v/>
      </c>
      <c r="L290" s="12">
        <f>IF(A290="","",H290-K290)</f>
        <v/>
      </c>
      <c r="M290" s="13">
        <f>IF(A290="","",ROUND(L290*I290,2))</f>
        <v/>
      </c>
      <c r="N290" s="13">
        <f>IF(A290="","",ROUND(L290*J290,2))</f>
        <v/>
      </c>
      <c r="O290" s="10" t="n"/>
      <c r="P290" s="12">
        <f>IF(A290="","",IF(COUNTIF($A$2:$A$501,A290)&gt;1,"Duplicate lot ID",IF(OR(B290="",H290="",I290="",J290=""),"Complete required fields",IF(L290&lt;0,"OVER SOLD","OK"))))</f>
        <v/>
      </c>
    </row>
    <row r="291" ht="23" customHeight="1">
      <c r="A291" s="14" t="n"/>
      <c r="B291" s="15" t="n"/>
      <c r="C291" s="15" t="n"/>
      <c r="D291" s="15" t="n"/>
      <c r="E291" s="15" t="n"/>
      <c r="F291" s="14" t="n"/>
      <c r="G291" s="15" t="n"/>
      <c r="H291" s="15" t="n"/>
      <c r="I291" s="16" t="n"/>
      <c r="J291" s="16" t="n"/>
      <c r="K291" s="12">
        <f>IF(A291="","",SUMIF(Sales!$C$2:$C$501,A291,Sales!$E$2:$E$501))</f>
        <v/>
      </c>
      <c r="L291" s="12">
        <f>IF(A291="","",H291-K291)</f>
        <v/>
      </c>
      <c r="M291" s="13">
        <f>IF(A291="","",ROUND(L291*I291,2))</f>
        <v/>
      </c>
      <c r="N291" s="13">
        <f>IF(A291="","",ROUND(L291*J291,2))</f>
        <v/>
      </c>
      <c r="O291" s="15" t="n"/>
      <c r="P291" s="12">
        <f>IF(A291="","",IF(COUNTIF($A$2:$A$501,A291)&gt;1,"Duplicate lot ID",IF(OR(B291="",H291="",I291="",J291=""),"Complete required fields",IF(L291&lt;0,"OVER SOLD","OK"))))</f>
        <v/>
      </c>
    </row>
    <row r="292" ht="23" customHeight="1">
      <c r="A292" s="9" t="n"/>
      <c r="B292" s="10" t="n"/>
      <c r="C292" s="10" t="n"/>
      <c r="D292" s="10" t="n"/>
      <c r="E292" s="10" t="n"/>
      <c r="F292" s="9" t="n"/>
      <c r="G292" s="10" t="n"/>
      <c r="H292" s="10" t="n"/>
      <c r="I292" s="11" t="n"/>
      <c r="J292" s="11" t="n"/>
      <c r="K292" s="12">
        <f>IF(A292="","",SUMIF(Sales!$C$2:$C$501,A292,Sales!$E$2:$E$501))</f>
        <v/>
      </c>
      <c r="L292" s="12">
        <f>IF(A292="","",H292-K292)</f>
        <v/>
      </c>
      <c r="M292" s="13">
        <f>IF(A292="","",ROUND(L292*I292,2))</f>
        <v/>
      </c>
      <c r="N292" s="13">
        <f>IF(A292="","",ROUND(L292*J292,2))</f>
        <v/>
      </c>
      <c r="O292" s="10" t="n"/>
      <c r="P292" s="12">
        <f>IF(A292="","",IF(COUNTIF($A$2:$A$501,A292)&gt;1,"Duplicate lot ID",IF(OR(B292="",H292="",I292="",J292=""),"Complete required fields",IF(L292&lt;0,"OVER SOLD","OK"))))</f>
        <v/>
      </c>
    </row>
    <row r="293" ht="23" customHeight="1">
      <c r="A293" s="14" t="n"/>
      <c r="B293" s="15" t="n"/>
      <c r="C293" s="15" t="n"/>
      <c r="D293" s="15" t="n"/>
      <c r="E293" s="15" t="n"/>
      <c r="F293" s="14" t="n"/>
      <c r="G293" s="15" t="n"/>
      <c r="H293" s="15" t="n"/>
      <c r="I293" s="16" t="n"/>
      <c r="J293" s="16" t="n"/>
      <c r="K293" s="12">
        <f>IF(A293="","",SUMIF(Sales!$C$2:$C$501,A293,Sales!$E$2:$E$501))</f>
        <v/>
      </c>
      <c r="L293" s="12">
        <f>IF(A293="","",H293-K293)</f>
        <v/>
      </c>
      <c r="M293" s="13">
        <f>IF(A293="","",ROUND(L293*I293,2))</f>
        <v/>
      </c>
      <c r="N293" s="13">
        <f>IF(A293="","",ROUND(L293*J293,2))</f>
        <v/>
      </c>
      <c r="O293" s="15" t="n"/>
      <c r="P293" s="12">
        <f>IF(A293="","",IF(COUNTIF($A$2:$A$501,A293)&gt;1,"Duplicate lot ID",IF(OR(B293="",H293="",I293="",J293=""),"Complete required fields",IF(L293&lt;0,"OVER SOLD","OK"))))</f>
        <v/>
      </c>
    </row>
    <row r="294" ht="23" customHeight="1">
      <c r="A294" s="9" t="n"/>
      <c r="B294" s="10" t="n"/>
      <c r="C294" s="10" t="n"/>
      <c r="D294" s="10" t="n"/>
      <c r="E294" s="10" t="n"/>
      <c r="F294" s="9" t="n"/>
      <c r="G294" s="10" t="n"/>
      <c r="H294" s="10" t="n"/>
      <c r="I294" s="11" t="n"/>
      <c r="J294" s="11" t="n"/>
      <c r="K294" s="12">
        <f>IF(A294="","",SUMIF(Sales!$C$2:$C$501,A294,Sales!$E$2:$E$501))</f>
        <v/>
      </c>
      <c r="L294" s="12">
        <f>IF(A294="","",H294-K294)</f>
        <v/>
      </c>
      <c r="M294" s="13">
        <f>IF(A294="","",ROUND(L294*I294,2))</f>
        <v/>
      </c>
      <c r="N294" s="13">
        <f>IF(A294="","",ROUND(L294*J294,2))</f>
        <v/>
      </c>
      <c r="O294" s="10" t="n"/>
      <c r="P294" s="12">
        <f>IF(A294="","",IF(COUNTIF($A$2:$A$501,A294)&gt;1,"Duplicate lot ID",IF(OR(B294="",H294="",I294="",J294=""),"Complete required fields",IF(L294&lt;0,"OVER SOLD","OK"))))</f>
        <v/>
      </c>
    </row>
    <row r="295" ht="23" customHeight="1">
      <c r="A295" s="14" t="n"/>
      <c r="B295" s="15" t="n"/>
      <c r="C295" s="15" t="n"/>
      <c r="D295" s="15" t="n"/>
      <c r="E295" s="15" t="n"/>
      <c r="F295" s="14" t="n"/>
      <c r="G295" s="15" t="n"/>
      <c r="H295" s="15" t="n"/>
      <c r="I295" s="16" t="n"/>
      <c r="J295" s="16" t="n"/>
      <c r="K295" s="12">
        <f>IF(A295="","",SUMIF(Sales!$C$2:$C$501,A295,Sales!$E$2:$E$501))</f>
        <v/>
      </c>
      <c r="L295" s="12">
        <f>IF(A295="","",H295-K295)</f>
        <v/>
      </c>
      <c r="M295" s="13">
        <f>IF(A295="","",ROUND(L295*I295,2))</f>
        <v/>
      </c>
      <c r="N295" s="13">
        <f>IF(A295="","",ROUND(L295*J295,2))</f>
        <v/>
      </c>
      <c r="O295" s="15" t="n"/>
      <c r="P295" s="12">
        <f>IF(A295="","",IF(COUNTIF($A$2:$A$501,A295)&gt;1,"Duplicate lot ID",IF(OR(B295="",H295="",I295="",J295=""),"Complete required fields",IF(L295&lt;0,"OVER SOLD","OK"))))</f>
        <v/>
      </c>
    </row>
    <row r="296" ht="23" customHeight="1">
      <c r="A296" s="9" t="n"/>
      <c r="B296" s="10" t="n"/>
      <c r="C296" s="10" t="n"/>
      <c r="D296" s="10" t="n"/>
      <c r="E296" s="10" t="n"/>
      <c r="F296" s="9" t="n"/>
      <c r="G296" s="10" t="n"/>
      <c r="H296" s="10" t="n"/>
      <c r="I296" s="11" t="n"/>
      <c r="J296" s="11" t="n"/>
      <c r="K296" s="12">
        <f>IF(A296="","",SUMIF(Sales!$C$2:$C$501,A296,Sales!$E$2:$E$501))</f>
        <v/>
      </c>
      <c r="L296" s="12">
        <f>IF(A296="","",H296-K296)</f>
        <v/>
      </c>
      <c r="M296" s="13">
        <f>IF(A296="","",ROUND(L296*I296,2))</f>
        <v/>
      </c>
      <c r="N296" s="13">
        <f>IF(A296="","",ROUND(L296*J296,2))</f>
        <v/>
      </c>
      <c r="O296" s="10" t="n"/>
      <c r="P296" s="12">
        <f>IF(A296="","",IF(COUNTIF($A$2:$A$501,A296)&gt;1,"Duplicate lot ID",IF(OR(B296="",H296="",I296="",J296=""),"Complete required fields",IF(L296&lt;0,"OVER SOLD","OK"))))</f>
        <v/>
      </c>
    </row>
    <row r="297" ht="23" customHeight="1">
      <c r="A297" s="14" t="n"/>
      <c r="B297" s="15" t="n"/>
      <c r="C297" s="15" t="n"/>
      <c r="D297" s="15" t="n"/>
      <c r="E297" s="15" t="n"/>
      <c r="F297" s="14" t="n"/>
      <c r="G297" s="15" t="n"/>
      <c r="H297" s="15" t="n"/>
      <c r="I297" s="16" t="n"/>
      <c r="J297" s="16" t="n"/>
      <c r="K297" s="12">
        <f>IF(A297="","",SUMIF(Sales!$C$2:$C$501,A297,Sales!$E$2:$E$501))</f>
        <v/>
      </c>
      <c r="L297" s="12">
        <f>IF(A297="","",H297-K297)</f>
        <v/>
      </c>
      <c r="M297" s="13">
        <f>IF(A297="","",ROUND(L297*I297,2))</f>
        <v/>
      </c>
      <c r="N297" s="13">
        <f>IF(A297="","",ROUND(L297*J297,2))</f>
        <v/>
      </c>
      <c r="O297" s="15" t="n"/>
      <c r="P297" s="12">
        <f>IF(A297="","",IF(COUNTIF($A$2:$A$501,A297)&gt;1,"Duplicate lot ID",IF(OR(B297="",H297="",I297="",J297=""),"Complete required fields",IF(L297&lt;0,"OVER SOLD","OK"))))</f>
        <v/>
      </c>
    </row>
    <row r="298" ht="23" customHeight="1">
      <c r="A298" s="9" t="n"/>
      <c r="B298" s="10" t="n"/>
      <c r="C298" s="10" t="n"/>
      <c r="D298" s="10" t="n"/>
      <c r="E298" s="10" t="n"/>
      <c r="F298" s="9" t="n"/>
      <c r="G298" s="10" t="n"/>
      <c r="H298" s="10" t="n"/>
      <c r="I298" s="11" t="n"/>
      <c r="J298" s="11" t="n"/>
      <c r="K298" s="12">
        <f>IF(A298="","",SUMIF(Sales!$C$2:$C$501,A298,Sales!$E$2:$E$501))</f>
        <v/>
      </c>
      <c r="L298" s="12">
        <f>IF(A298="","",H298-K298)</f>
        <v/>
      </c>
      <c r="M298" s="13">
        <f>IF(A298="","",ROUND(L298*I298,2))</f>
        <v/>
      </c>
      <c r="N298" s="13">
        <f>IF(A298="","",ROUND(L298*J298,2))</f>
        <v/>
      </c>
      <c r="O298" s="10" t="n"/>
      <c r="P298" s="12">
        <f>IF(A298="","",IF(COUNTIF($A$2:$A$501,A298)&gt;1,"Duplicate lot ID",IF(OR(B298="",H298="",I298="",J298=""),"Complete required fields",IF(L298&lt;0,"OVER SOLD","OK"))))</f>
        <v/>
      </c>
    </row>
    <row r="299" ht="23" customHeight="1">
      <c r="A299" s="14" t="n"/>
      <c r="B299" s="15" t="n"/>
      <c r="C299" s="15" t="n"/>
      <c r="D299" s="15" t="n"/>
      <c r="E299" s="15" t="n"/>
      <c r="F299" s="14" t="n"/>
      <c r="G299" s="15" t="n"/>
      <c r="H299" s="15" t="n"/>
      <c r="I299" s="16" t="n"/>
      <c r="J299" s="16" t="n"/>
      <c r="K299" s="12">
        <f>IF(A299="","",SUMIF(Sales!$C$2:$C$501,A299,Sales!$E$2:$E$501))</f>
        <v/>
      </c>
      <c r="L299" s="12">
        <f>IF(A299="","",H299-K299)</f>
        <v/>
      </c>
      <c r="M299" s="13">
        <f>IF(A299="","",ROUND(L299*I299,2))</f>
        <v/>
      </c>
      <c r="N299" s="13">
        <f>IF(A299="","",ROUND(L299*J299,2))</f>
        <v/>
      </c>
      <c r="O299" s="15" t="n"/>
      <c r="P299" s="12">
        <f>IF(A299="","",IF(COUNTIF($A$2:$A$501,A299)&gt;1,"Duplicate lot ID",IF(OR(B299="",H299="",I299="",J299=""),"Complete required fields",IF(L299&lt;0,"OVER SOLD","OK"))))</f>
        <v/>
      </c>
    </row>
    <row r="300" ht="23" customHeight="1">
      <c r="A300" s="9" t="n"/>
      <c r="B300" s="10" t="n"/>
      <c r="C300" s="10" t="n"/>
      <c r="D300" s="10" t="n"/>
      <c r="E300" s="10" t="n"/>
      <c r="F300" s="9" t="n"/>
      <c r="G300" s="10" t="n"/>
      <c r="H300" s="10" t="n"/>
      <c r="I300" s="11" t="n"/>
      <c r="J300" s="11" t="n"/>
      <c r="K300" s="12">
        <f>IF(A300="","",SUMIF(Sales!$C$2:$C$501,A300,Sales!$E$2:$E$501))</f>
        <v/>
      </c>
      <c r="L300" s="12">
        <f>IF(A300="","",H300-K300)</f>
        <v/>
      </c>
      <c r="M300" s="13">
        <f>IF(A300="","",ROUND(L300*I300,2))</f>
        <v/>
      </c>
      <c r="N300" s="13">
        <f>IF(A300="","",ROUND(L300*J300,2))</f>
        <v/>
      </c>
      <c r="O300" s="10" t="n"/>
      <c r="P300" s="12">
        <f>IF(A300="","",IF(COUNTIF($A$2:$A$501,A300)&gt;1,"Duplicate lot ID",IF(OR(B300="",H300="",I300="",J300=""),"Complete required fields",IF(L300&lt;0,"OVER SOLD","OK"))))</f>
        <v/>
      </c>
    </row>
    <row r="301" ht="23" customHeight="1">
      <c r="A301" s="14" t="n"/>
      <c r="B301" s="15" t="n"/>
      <c r="C301" s="15" t="n"/>
      <c r="D301" s="15" t="n"/>
      <c r="E301" s="15" t="n"/>
      <c r="F301" s="14" t="n"/>
      <c r="G301" s="15" t="n"/>
      <c r="H301" s="15" t="n"/>
      <c r="I301" s="16" t="n"/>
      <c r="J301" s="16" t="n"/>
      <c r="K301" s="12">
        <f>IF(A301="","",SUMIF(Sales!$C$2:$C$501,A301,Sales!$E$2:$E$501))</f>
        <v/>
      </c>
      <c r="L301" s="12">
        <f>IF(A301="","",H301-K301)</f>
        <v/>
      </c>
      <c r="M301" s="13">
        <f>IF(A301="","",ROUND(L301*I301,2))</f>
        <v/>
      </c>
      <c r="N301" s="13">
        <f>IF(A301="","",ROUND(L301*J301,2))</f>
        <v/>
      </c>
      <c r="O301" s="15" t="n"/>
      <c r="P301" s="12">
        <f>IF(A301="","",IF(COUNTIF($A$2:$A$501,A301)&gt;1,"Duplicate lot ID",IF(OR(B301="",H301="",I301="",J301=""),"Complete required fields",IF(L301&lt;0,"OVER SOLD","OK"))))</f>
        <v/>
      </c>
    </row>
    <row r="302" ht="23" customHeight="1">
      <c r="A302" s="9" t="n"/>
      <c r="B302" s="10" t="n"/>
      <c r="C302" s="10" t="n"/>
      <c r="D302" s="10" t="n"/>
      <c r="E302" s="10" t="n"/>
      <c r="F302" s="9" t="n"/>
      <c r="G302" s="10" t="n"/>
      <c r="H302" s="10" t="n"/>
      <c r="I302" s="11" t="n"/>
      <c r="J302" s="11" t="n"/>
      <c r="K302" s="12">
        <f>IF(A302="","",SUMIF(Sales!$C$2:$C$501,A302,Sales!$E$2:$E$501))</f>
        <v/>
      </c>
      <c r="L302" s="12">
        <f>IF(A302="","",H302-K302)</f>
        <v/>
      </c>
      <c r="M302" s="13">
        <f>IF(A302="","",ROUND(L302*I302,2))</f>
        <v/>
      </c>
      <c r="N302" s="13">
        <f>IF(A302="","",ROUND(L302*J302,2))</f>
        <v/>
      </c>
      <c r="O302" s="10" t="n"/>
      <c r="P302" s="12">
        <f>IF(A302="","",IF(COUNTIF($A$2:$A$501,A302)&gt;1,"Duplicate lot ID",IF(OR(B302="",H302="",I302="",J302=""),"Complete required fields",IF(L302&lt;0,"OVER SOLD","OK"))))</f>
        <v/>
      </c>
    </row>
    <row r="303" ht="23" customHeight="1">
      <c r="A303" s="14" t="n"/>
      <c r="B303" s="15" t="n"/>
      <c r="C303" s="15" t="n"/>
      <c r="D303" s="15" t="n"/>
      <c r="E303" s="15" t="n"/>
      <c r="F303" s="14" t="n"/>
      <c r="G303" s="15" t="n"/>
      <c r="H303" s="15" t="n"/>
      <c r="I303" s="16" t="n"/>
      <c r="J303" s="16" t="n"/>
      <c r="K303" s="12">
        <f>IF(A303="","",SUMIF(Sales!$C$2:$C$501,A303,Sales!$E$2:$E$501))</f>
        <v/>
      </c>
      <c r="L303" s="12">
        <f>IF(A303="","",H303-K303)</f>
        <v/>
      </c>
      <c r="M303" s="13">
        <f>IF(A303="","",ROUND(L303*I303,2))</f>
        <v/>
      </c>
      <c r="N303" s="13">
        <f>IF(A303="","",ROUND(L303*J303,2))</f>
        <v/>
      </c>
      <c r="O303" s="15" t="n"/>
      <c r="P303" s="12">
        <f>IF(A303="","",IF(COUNTIF($A$2:$A$501,A303)&gt;1,"Duplicate lot ID",IF(OR(B303="",H303="",I303="",J303=""),"Complete required fields",IF(L303&lt;0,"OVER SOLD","OK"))))</f>
        <v/>
      </c>
    </row>
    <row r="304" ht="23" customHeight="1">
      <c r="A304" s="9" t="n"/>
      <c r="B304" s="10" t="n"/>
      <c r="C304" s="10" t="n"/>
      <c r="D304" s="10" t="n"/>
      <c r="E304" s="10" t="n"/>
      <c r="F304" s="9" t="n"/>
      <c r="G304" s="10" t="n"/>
      <c r="H304" s="10" t="n"/>
      <c r="I304" s="11" t="n"/>
      <c r="J304" s="11" t="n"/>
      <c r="K304" s="12">
        <f>IF(A304="","",SUMIF(Sales!$C$2:$C$501,A304,Sales!$E$2:$E$501))</f>
        <v/>
      </c>
      <c r="L304" s="12">
        <f>IF(A304="","",H304-K304)</f>
        <v/>
      </c>
      <c r="M304" s="13">
        <f>IF(A304="","",ROUND(L304*I304,2))</f>
        <v/>
      </c>
      <c r="N304" s="13">
        <f>IF(A304="","",ROUND(L304*J304,2))</f>
        <v/>
      </c>
      <c r="O304" s="10" t="n"/>
      <c r="P304" s="12">
        <f>IF(A304="","",IF(COUNTIF($A$2:$A$501,A304)&gt;1,"Duplicate lot ID",IF(OR(B304="",H304="",I304="",J304=""),"Complete required fields",IF(L304&lt;0,"OVER SOLD","OK"))))</f>
        <v/>
      </c>
    </row>
    <row r="305" ht="23" customHeight="1">
      <c r="A305" s="14" t="n"/>
      <c r="B305" s="15" t="n"/>
      <c r="C305" s="15" t="n"/>
      <c r="D305" s="15" t="n"/>
      <c r="E305" s="15" t="n"/>
      <c r="F305" s="14" t="n"/>
      <c r="G305" s="15" t="n"/>
      <c r="H305" s="15" t="n"/>
      <c r="I305" s="16" t="n"/>
      <c r="J305" s="16" t="n"/>
      <c r="K305" s="12">
        <f>IF(A305="","",SUMIF(Sales!$C$2:$C$501,A305,Sales!$E$2:$E$501))</f>
        <v/>
      </c>
      <c r="L305" s="12">
        <f>IF(A305="","",H305-K305)</f>
        <v/>
      </c>
      <c r="M305" s="13">
        <f>IF(A305="","",ROUND(L305*I305,2))</f>
        <v/>
      </c>
      <c r="N305" s="13">
        <f>IF(A305="","",ROUND(L305*J305,2))</f>
        <v/>
      </c>
      <c r="O305" s="15" t="n"/>
      <c r="P305" s="12">
        <f>IF(A305="","",IF(COUNTIF($A$2:$A$501,A305)&gt;1,"Duplicate lot ID",IF(OR(B305="",H305="",I305="",J305=""),"Complete required fields",IF(L305&lt;0,"OVER SOLD","OK"))))</f>
        <v/>
      </c>
    </row>
    <row r="306" ht="23" customHeight="1">
      <c r="A306" s="9" t="n"/>
      <c r="B306" s="10" t="n"/>
      <c r="C306" s="10" t="n"/>
      <c r="D306" s="10" t="n"/>
      <c r="E306" s="10" t="n"/>
      <c r="F306" s="9" t="n"/>
      <c r="G306" s="10" t="n"/>
      <c r="H306" s="10" t="n"/>
      <c r="I306" s="11" t="n"/>
      <c r="J306" s="11" t="n"/>
      <c r="K306" s="12">
        <f>IF(A306="","",SUMIF(Sales!$C$2:$C$501,A306,Sales!$E$2:$E$501))</f>
        <v/>
      </c>
      <c r="L306" s="12">
        <f>IF(A306="","",H306-K306)</f>
        <v/>
      </c>
      <c r="M306" s="13">
        <f>IF(A306="","",ROUND(L306*I306,2))</f>
        <v/>
      </c>
      <c r="N306" s="13">
        <f>IF(A306="","",ROUND(L306*J306,2))</f>
        <v/>
      </c>
      <c r="O306" s="10" t="n"/>
      <c r="P306" s="12">
        <f>IF(A306="","",IF(COUNTIF($A$2:$A$501,A306)&gt;1,"Duplicate lot ID",IF(OR(B306="",H306="",I306="",J306=""),"Complete required fields",IF(L306&lt;0,"OVER SOLD","OK"))))</f>
        <v/>
      </c>
    </row>
    <row r="307" ht="23" customHeight="1">
      <c r="A307" s="14" t="n"/>
      <c r="B307" s="15" t="n"/>
      <c r="C307" s="15" t="n"/>
      <c r="D307" s="15" t="n"/>
      <c r="E307" s="15" t="n"/>
      <c r="F307" s="14" t="n"/>
      <c r="G307" s="15" t="n"/>
      <c r="H307" s="15" t="n"/>
      <c r="I307" s="16" t="n"/>
      <c r="J307" s="16" t="n"/>
      <c r="K307" s="12">
        <f>IF(A307="","",SUMIF(Sales!$C$2:$C$501,A307,Sales!$E$2:$E$501))</f>
        <v/>
      </c>
      <c r="L307" s="12">
        <f>IF(A307="","",H307-K307)</f>
        <v/>
      </c>
      <c r="M307" s="13">
        <f>IF(A307="","",ROUND(L307*I307,2))</f>
        <v/>
      </c>
      <c r="N307" s="13">
        <f>IF(A307="","",ROUND(L307*J307,2))</f>
        <v/>
      </c>
      <c r="O307" s="15" t="n"/>
      <c r="P307" s="12">
        <f>IF(A307="","",IF(COUNTIF($A$2:$A$501,A307)&gt;1,"Duplicate lot ID",IF(OR(B307="",H307="",I307="",J307=""),"Complete required fields",IF(L307&lt;0,"OVER SOLD","OK"))))</f>
        <v/>
      </c>
    </row>
    <row r="308" ht="23" customHeight="1">
      <c r="A308" s="9" t="n"/>
      <c r="B308" s="10" t="n"/>
      <c r="C308" s="10" t="n"/>
      <c r="D308" s="10" t="n"/>
      <c r="E308" s="10" t="n"/>
      <c r="F308" s="9" t="n"/>
      <c r="G308" s="10" t="n"/>
      <c r="H308" s="10" t="n"/>
      <c r="I308" s="11" t="n"/>
      <c r="J308" s="11" t="n"/>
      <c r="K308" s="12">
        <f>IF(A308="","",SUMIF(Sales!$C$2:$C$501,A308,Sales!$E$2:$E$501))</f>
        <v/>
      </c>
      <c r="L308" s="12">
        <f>IF(A308="","",H308-K308)</f>
        <v/>
      </c>
      <c r="M308" s="13">
        <f>IF(A308="","",ROUND(L308*I308,2))</f>
        <v/>
      </c>
      <c r="N308" s="13">
        <f>IF(A308="","",ROUND(L308*J308,2))</f>
        <v/>
      </c>
      <c r="O308" s="10" t="n"/>
      <c r="P308" s="12">
        <f>IF(A308="","",IF(COUNTIF($A$2:$A$501,A308)&gt;1,"Duplicate lot ID",IF(OR(B308="",H308="",I308="",J308=""),"Complete required fields",IF(L308&lt;0,"OVER SOLD","OK"))))</f>
        <v/>
      </c>
    </row>
    <row r="309" ht="23" customHeight="1">
      <c r="A309" s="14" t="n"/>
      <c r="B309" s="15" t="n"/>
      <c r="C309" s="15" t="n"/>
      <c r="D309" s="15" t="n"/>
      <c r="E309" s="15" t="n"/>
      <c r="F309" s="14" t="n"/>
      <c r="G309" s="15" t="n"/>
      <c r="H309" s="15" t="n"/>
      <c r="I309" s="16" t="n"/>
      <c r="J309" s="16" t="n"/>
      <c r="K309" s="12">
        <f>IF(A309="","",SUMIF(Sales!$C$2:$C$501,A309,Sales!$E$2:$E$501))</f>
        <v/>
      </c>
      <c r="L309" s="12">
        <f>IF(A309="","",H309-K309)</f>
        <v/>
      </c>
      <c r="M309" s="13">
        <f>IF(A309="","",ROUND(L309*I309,2))</f>
        <v/>
      </c>
      <c r="N309" s="13">
        <f>IF(A309="","",ROUND(L309*J309,2))</f>
        <v/>
      </c>
      <c r="O309" s="15" t="n"/>
      <c r="P309" s="12">
        <f>IF(A309="","",IF(COUNTIF($A$2:$A$501,A309)&gt;1,"Duplicate lot ID",IF(OR(B309="",H309="",I309="",J309=""),"Complete required fields",IF(L309&lt;0,"OVER SOLD","OK"))))</f>
        <v/>
      </c>
    </row>
    <row r="310" ht="23" customHeight="1">
      <c r="A310" s="9" t="n"/>
      <c r="B310" s="10" t="n"/>
      <c r="C310" s="10" t="n"/>
      <c r="D310" s="10" t="n"/>
      <c r="E310" s="10" t="n"/>
      <c r="F310" s="9" t="n"/>
      <c r="G310" s="10" t="n"/>
      <c r="H310" s="10" t="n"/>
      <c r="I310" s="11" t="n"/>
      <c r="J310" s="11" t="n"/>
      <c r="K310" s="12">
        <f>IF(A310="","",SUMIF(Sales!$C$2:$C$501,A310,Sales!$E$2:$E$501))</f>
        <v/>
      </c>
      <c r="L310" s="12">
        <f>IF(A310="","",H310-K310)</f>
        <v/>
      </c>
      <c r="M310" s="13">
        <f>IF(A310="","",ROUND(L310*I310,2))</f>
        <v/>
      </c>
      <c r="N310" s="13">
        <f>IF(A310="","",ROUND(L310*J310,2))</f>
        <v/>
      </c>
      <c r="O310" s="10" t="n"/>
      <c r="P310" s="12">
        <f>IF(A310="","",IF(COUNTIF($A$2:$A$501,A310)&gt;1,"Duplicate lot ID",IF(OR(B310="",H310="",I310="",J310=""),"Complete required fields",IF(L310&lt;0,"OVER SOLD","OK"))))</f>
        <v/>
      </c>
    </row>
    <row r="311" ht="23" customHeight="1">
      <c r="A311" s="14" t="n"/>
      <c r="B311" s="15" t="n"/>
      <c r="C311" s="15" t="n"/>
      <c r="D311" s="15" t="n"/>
      <c r="E311" s="15" t="n"/>
      <c r="F311" s="14" t="n"/>
      <c r="G311" s="15" t="n"/>
      <c r="H311" s="15" t="n"/>
      <c r="I311" s="16" t="n"/>
      <c r="J311" s="16" t="n"/>
      <c r="K311" s="12">
        <f>IF(A311="","",SUMIF(Sales!$C$2:$C$501,A311,Sales!$E$2:$E$501))</f>
        <v/>
      </c>
      <c r="L311" s="12">
        <f>IF(A311="","",H311-K311)</f>
        <v/>
      </c>
      <c r="M311" s="13">
        <f>IF(A311="","",ROUND(L311*I311,2))</f>
        <v/>
      </c>
      <c r="N311" s="13">
        <f>IF(A311="","",ROUND(L311*J311,2))</f>
        <v/>
      </c>
      <c r="O311" s="15" t="n"/>
      <c r="P311" s="12">
        <f>IF(A311="","",IF(COUNTIF($A$2:$A$501,A311)&gt;1,"Duplicate lot ID",IF(OR(B311="",H311="",I311="",J311=""),"Complete required fields",IF(L311&lt;0,"OVER SOLD","OK"))))</f>
        <v/>
      </c>
    </row>
    <row r="312" ht="23" customHeight="1">
      <c r="A312" s="9" t="n"/>
      <c r="B312" s="10" t="n"/>
      <c r="C312" s="10" t="n"/>
      <c r="D312" s="10" t="n"/>
      <c r="E312" s="10" t="n"/>
      <c r="F312" s="9" t="n"/>
      <c r="G312" s="10" t="n"/>
      <c r="H312" s="10" t="n"/>
      <c r="I312" s="11" t="n"/>
      <c r="J312" s="11" t="n"/>
      <c r="K312" s="12">
        <f>IF(A312="","",SUMIF(Sales!$C$2:$C$501,A312,Sales!$E$2:$E$501))</f>
        <v/>
      </c>
      <c r="L312" s="12">
        <f>IF(A312="","",H312-K312)</f>
        <v/>
      </c>
      <c r="M312" s="13">
        <f>IF(A312="","",ROUND(L312*I312,2))</f>
        <v/>
      </c>
      <c r="N312" s="13">
        <f>IF(A312="","",ROUND(L312*J312,2))</f>
        <v/>
      </c>
      <c r="O312" s="10" t="n"/>
      <c r="P312" s="12">
        <f>IF(A312="","",IF(COUNTIF($A$2:$A$501,A312)&gt;1,"Duplicate lot ID",IF(OR(B312="",H312="",I312="",J312=""),"Complete required fields",IF(L312&lt;0,"OVER SOLD","OK"))))</f>
        <v/>
      </c>
    </row>
    <row r="313" ht="23" customHeight="1">
      <c r="A313" s="14" t="n"/>
      <c r="B313" s="15" t="n"/>
      <c r="C313" s="15" t="n"/>
      <c r="D313" s="15" t="n"/>
      <c r="E313" s="15" t="n"/>
      <c r="F313" s="14" t="n"/>
      <c r="G313" s="15" t="n"/>
      <c r="H313" s="15" t="n"/>
      <c r="I313" s="16" t="n"/>
      <c r="J313" s="16" t="n"/>
      <c r="K313" s="12">
        <f>IF(A313="","",SUMIF(Sales!$C$2:$C$501,A313,Sales!$E$2:$E$501))</f>
        <v/>
      </c>
      <c r="L313" s="12">
        <f>IF(A313="","",H313-K313)</f>
        <v/>
      </c>
      <c r="M313" s="13">
        <f>IF(A313="","",ROUND(L313*I313,2))</f>
        <v/>
      </c>
      <c r="N313" s="13">
        <f>IF(A313="","",ROUND(L313*J313,2))</f>
        <v/>
      </c>
      <c r="O313" s="15" t="n"/>
      <c r="P313" s="12">
        <f>IF(A313="","",IF(COUNTIF($A$2:$A$501,A313)&gt;1,"Duplicate lot ID",IF(OR(B313="",H313="",I313="",J313=""),"Complete required fields",IF(L313&lt;0,"OVER SOLD","OK"))))</f>
        <v/>
      </c>
    </row>
    <row r="314" ht="23" customHeight="1">
      <c r="A314" s="9" t="n"/>
      <c r="B314" s="10" t="n"/>
      <c r="C314" s="10" t="n"/>
      <c r="D314" s="10" t="n"/>
      <c r="E314" s="10" t="n"/>
      <c r="F314" s="9" t="n"/>
      <c r="G314" s="10" t="n"/>
      <c r="H314" s="10" t="n"/>
      <c r="I314" s="11" t="n"/>
      <c r="J314" s="11" t="n"/>
      <c r="K314" s="12">
        <f>IF(A314="","",SUMIF(Sales!$C$2:$C$501,A314,Sales!$E$2:$E$501))</f>
        <v/>
      </c>
      <c r="L314" s="12">
        <f>IF(A314="","",H314-K314)</f>
        <v/>
      </c>
      <c r="M314" s="13">
        <f>IF(A314="","",ROUND(L314*I314,2))</f>
        <v/>
      </c>
      <c r="N314" s="13">
        <f>IF(A314="","",ROUND(L314*J314,2))</f>
        <v/>
      </c>
      <c r="O314" s="10" t="n"/>
      <c r="P314" s="12">
        <f>IF(A314="","",IF(COUNTIF($A$2:$A$501,A314)&gt;1,"Duplicate lot ID",IF(OR(B314="",H314="",I314="",J314=""),"Complete required fields",IF(L314&lt;0,"OVER SOLD","OK"))))</f>
        <v/>
      </c>
    </row>
    <row r="315" ht="23" customHeight="1">
      <c r="A315" s="14" t="n"/>
      <c r="B315" s="15" t="n"/>
      <c r="C315" s="15" t="n"/>
      <c r="D315" s="15" t="n"/>
      <c r="E315" s="15" t="n"/>
      <c r="F315" s="14" t="n"/>
      <c r="G315" s="15" t="n"/>
      <c r="H315" s="15" t="n"/>
      <c r="I315" s="16" t="n"/>
      <c r="J315" s="16" t="n"/>
      <c r="K315" s="12">
        <f>IF(A315="","",SUMIF(Sales!$C$2:$C$501,A315,Sales!$E$2:$E$501))</f>
        <v/>
      </c>
      <c r="L315" s="12">
        <f>IF(A315="","",H315-K315)</f>
        <v/>
      </c>
      <c r="M315" s="13">
        <f>IF(A315="","",ROUND(L315*I315,2))</f>
        <v/>
      </c>
      <c r="N315" s="13">
        <f>IF(A315="","",ROUND(L315*J315,2))</f>
        <v/>
      </c>
      <c r="O315" s="15" t="n"/>
      <c r="P315" s="12">
        <f>IF(A315="","",IF(COUNTIF($A$2:$A$501,A315)&gt;1,"Duplicate lot ID",IF(OR(B315="",H315="",I315="",J315=""),"Complete required fields",IF(L315&lt;0,"OVER SOLD","OK"))))</f>
        <v/>
      </c>
    </row>
    <row r="316" ht="23" customHeight="1">
      <c r="A316" s="9" t="n"/>
      <c r="B316" s="10" t="n"/>
      <c r="C316" s="10" t="n"/>
      <c r="D316" s="10" t="n"/>
      <c r="E316" s="10" t="n"/>
      <c r="F316" s="9" t="n"/>
      <c r="G316" s="10" t="n"/>
      <c r="H316" s="10" t="n"/>
      <c r="I316" s="11" t="n"/>
      <c r="J316" s="11" t="n"/>
      <c r="K316" s="12">
        <f>IF(A316="","",SUMIF(Sales!$C$2:$C$501,A316,Sales!$E$2:$E$501))</f>
        <v/>
      </c>
      <c r="L316" s="12">
        <f>IF(A316="","",H316-K316)</f>
        <v/>
      </c>
      <c r="M316" s="13">
        <f>IF(A316="","",ROUND(L316*I316,2))</f>
        <v/>
      </c>
      <c r="N316" s="13">
        <f>IF(A316="","",ROUND(L316*J316,2))</f>
        <v/>
      </c>
      <c r="O316" s="10" t="n"/>
      <c r="P316" s="12">
        <f>IF(A316="","",IF(COUNTIF($A$2:$A$501,A316)&gt;1,"Duplicate lot ID",IF(OR(B316="",H316="",I316="",J316=""),"Complete required fields",IF(L316&lt;0,"OVER SOLD","OK"))))</f>
        <v/>
      </c>
    </row>
    <row r="317" ht="23" customHeight="1">
      <c r="A317" s="14" t="n"/>
      <c r="B317" s="15" t="n"/>
      <c r="C317" s="15" t="n"/>
      <c r="D317" s="15" t="n"/>
      <c r="E317" s="15" t="n"/>
      <c r="F317" s="14" t="n"/>
      <c r="G317" s="15" t="n"/>
      <c r="H317" s="15" t="n"/>
      <c r="I317" s="16" t="n"/>
      <c r="J317" s="16" t="n"/>
      <c r="K317" s="12">
        <f>IF(A317="","",SUMIF(Sales!$C$2:$C$501,A317,Sales!$E$2:$E$501))</f>
        <v/>
      </c>
      <c r="L317" s="12">
        <f>IF(A317="","",H317-K317)</f>
        <v/>
      </c>
      <c r="M317" s="13">
        <f>IF(A317="","",ROUND(L317*I317,2))</f>
        <v/>
      </c>
      <c r="N317" s="13">
        <f>IF(A317="","",ROUND(L317*J317,2))</f>
        <v/>
      </c>
      <c r="O317" s="15" t="n"/>
      <c r="P317" s="12">
        <f>IF(A317="","",IF(COUNTIF($A$2:$A$501,A317)&gt;1,"Duplicate lot ID",IF(OR(B317="",H317="",I317="",J317=""),"Complete required fields",IF(L317&lt;0,"OVER SOLD","OK"))))</f>
        <v/>
      </c>
    </row>
    <row r="318" ht="23" customHeight="1">
      <c r="A318" s="9" t="n"/>
      <c r="B318" s="10" t="n"/>
      <c r="C318" s="10" t="n"/>
      <c r="D318" s="10" t="n"/>
      <c r="E318" s="10" t="n"/>
      <c r="F318" s="9" t="n"/>
      <c r="G318" s="10" t="n"/>
      <c r="H318" s="10" t="n"/>
      <c r="I318" s="11" t="n"/>
      <c r="J318" s="11" t="n"/>
      <c r="K318" s="12">
        <f>IF(A318="","",SUMIF(Sales!$C$2:$C$501,A318,Sales!$E$2:$E$501))</f>
        <v/>
      </c>
      <c r="L318" s="12">
        <f>IF(A318="","",H318-K318)</f>
        <v/>
      </c>
      <c r="M318" s="13">
        <f>IF(A318="","",ROUND(L318*I318,2))</f>
        <v/>
      </c>
      <c r="N318" s="13">
        <f>IF(A318="","",ROUND(L318*J318,2))</f>
        <v/>
      </c>
      <c r="O318" s="10" t="n"/>
      <c r="P318" s="12">
        <f>IF(A318="","",IF(COUNTIF($A$2:$A$501,A318)&gt;1,"Duplicate lot ID",IF(OR(B318="",H318="",I318="",J318=""),"Complete required fields",IF(L318&lt;0,"OVER SOLD","OK"))))</f>
        <v/>
      </c>
    </row>
    <row r="319" ht="23" customHeight="1">
      <c r="A319" s="14" t="n"/>
      <c r="B319" s="15" t="n"/>
      <c r="C319" s="15" t="n"/>
      <c r="D319" s="15" t="n"/>
      <c r="E319" s="15" t="n"/>
      <c r="F319" s="14" t="n"/>
      <c r="G319" s="15" t="n"/>
      <c r="H319" s="15" t="n"/>
      <c r="I319" s="16" t="n"/>
      <c r="J319" s="16" t="n"/>
      <c r="K319" s="12">
        <f>IF(A319="","",SUMIF(Sales!$C$2:$C$501,A319,Sales!$E$2:$E$501))</f>
        <v/>
      </c>
      <c r="L319" s="12">
        <f>IF(A319="","",H319-K319)</f>
        <v/>
      </c>
      <c r="M319" s="13">
        <f>IF(A319="","",ROUND(L319*I319,2))</f>
        <v/>
      </c>
      <c r="N319" s="13">
        <f>IF(A319="","",ROUND(L319*J319,2))</f>
        <v/>
      </c>
      <c r="O319" s="15" t="n"/>
      <c r="P319" s="12">
        <f>IF(A319="","",IF(COUNTIF($A$2:$A$501,A319)&gt;1,"Duplicate lot ID",IF(OR(B319="",H319="",I319="",J319=""),"Complete required fields",IF(L319&lt;0,"OVER SOLD","OK"))))</f>
        <v/>
      </c>
    </row>
    <row r="320" ht="23" customHeight="1">
      <c r="A320" s="9" t="n"/>
      <c r="B320" s="10" t="n"/>
      <c r="C320" s="10" t="n"/>
      <c r="D320" s="10" t="n"/>
      <c r="E320" s="10" t="n"/>
      <c r="F320" s="9" t="n"/>
      <c r="G320" s="10" t="n"/>
      <c r="H320" s="10" t="n"/>
      <c r="I320" s="11" t="n"/>
      <c r="J320" s="11" t="n"/>
      <c r="K320" s="12">
        <f>IF(A320="","",SUMIF(Sales!$C$2:$C$501,A320,Sales!$E$2:$E$501))</f>
        <v/>
      </c>
      <c r="L320" s="12">
        <f>IF(A320="","",H320-K320)</f>
        <v/>
      </c>
      <c r="M320" s="13">
        <f>IF(A320="","",ROUND(L320*I320,2))</f>
        <v/>
      </c>
      <c r="N320" s="13">
        <f>IF(A320="","",ROUND(L320*J320,2))</f>
        <v/>
      </c>
      <c r="O320" s="10" t="n"/>
      <c r="P320" s="12">
        <f>IF(A320="","",IF(COUNTIF($A$2:$A$501,A320)&gt;1,"Duplicate lot ID",IF(OR(B320="",H320="",I320="",J320=""),"Complete required fields",IF(L320&lt;0,"OVER SOLD","OK"))))</f>
        <v/>
      </c>
    </row>
    <row r="321" ht="23" customHeight="1">
      <c r="A321" s="14" t="n"/>
      <c r="B321" s="15" t="n"/>
      <c r="C321" s="15" t="n"/>
      <c r="D321" s="15" t="n"/>
      <c r="E321" s="15" t="n"/>
      <c r="F321" s="14" t="n"/>
      <c r="G321" s="15" t="n"/>
      <c r="H321" s="15" t="n"/>
      <c r="I321" s="16" t="n"/>
      <c r="J321" s="16" t="n"/>
      <c r="K321" s="12">
        <f>IF(A321="","",SUMIF(Sales!$C$2:$C$501,A321,Sales!$E$2:$E$501))</f>
        <v/>
      </c>
      <c r="L321" s="12">
        <f>IF(A321="","",H321-K321)</f>
        <v/>
      </c>
      <c r="M321" s="13">
        <f>IF(A321="","",ROUND(L321*I321,2))</f>
        <v/>
      </c>
      <c r="N321" s="13">
        <f>IF(A321="","",ROUND(L321*J321,2))</f>
        <v/>
      </c>
      <c r="O321" s="15" t="n"/>
      <c r="P321" s="12">
        <f>IF(A321="","",IF(COUNTIF($A$2:$A$501,A321)&gt;1,"Duplicate lot ID",IF(OR(B321="",H321="",I321="",J321=""),"Complete required fields",IF(L321&lt;0,"OVER SOLD","OK"))))</f>
        <v/>
      </c>
    </row>
    <row r="322" ht="23" customHeight="1">
      <c r="A322" s="9" t="n"/>
      <c r="B322" s="10" t="n"/>
      <c r="C322" s="10" t="n"/>
      <c r="D322" s="10" t="n"/>
      <c r="E322" s="10" t="n"/>
      <c r="F322" s="9" t="n"/>
      <c r="G322" s="10" t="n"/>
      <c r="H322" s="10" t="n"/>
      <c r="I322" s="11" t="n"/>
      <c r="J322" s="11" t="n"/>
      <c r="K322" s="12">
        <f>IF(A322="","",SUMIF(Sales!$C$2:$C$501,A322,Sales!$E$2:$E$501))</f>
        <v/>
      </c>
      <c r="L322" s="12">
        <f>IF(A322="","",H322-K322)</f>
        <v/>
      </c>
      <c r="M322" s="13">
        <f>IF(A322="","",ROUND(L322*I322,2))</f>
        <v/>
      </c>
      <c r="N322" s="13">
        <f>IF(A322="","",ROUND(L322*J322,2))</f>
        <v/>
      </c>
      <c r="O322" s="10" t="n"/>
      <c r="P322" s="12">
        <f>IF(A322="","",IF(COUNTIF($A$2:$A$501,A322)&gt;1,"Duplicate lot ID",IF(OR(B322="",H322="",I322="",J322=""),"Complete required fields",IF(L322&lt;0,"OVER SOLD","OK"))))</f>
        <v/>
      </c>
    </row>
    <row r="323" ht="23" customHeight="1">
      <c r="A323" s="14" t="n"/>
      <c r="B323" s="15" t="n"/>
      <c r="C323" s="15" t="n"/>
      <c r="D323" s="15" t="n"/>
      <c r="E323" s="15" t="n"/>
      <c r="F323" s="14" t="n"/>
      <c r="G323" s="15" t="n"/>
      <c r="H323" s="15" t="n"/>
      <c r="I323" s="16" t="n"/>
      <c r="J323" s="16" t="n"/>
      <c r="K323" s="12">
        <f>IF(A323="","",SUMIF(Sales!$C$2:$C$501,A323,Sales!$E$2:$E$501))</f>
        <v/>
      </c>
      <c r="L323" s="12">
        <f>IF(A323="","",H323-K323)</f>
        <v/>
      </c>
      <c r="M323" s="13">
        <f>IF(A323="","",ROUND(L323*I323,2))</f>
        <v/>
      </c>
      <c r="N323" s="13">
        <f>IF(A323="","",ROUND(L323*J323,2))</f>
        <v/>
      </c>
      <c r="O323" s="15" t="n"/>
      <c r="P323" s="12">
        <f>IF(A323="","",IF(COUNTIF($A$2:$A$501,A323)&gt;1,"Duplicate lot ID",IF(OR(B323="",H323="",I323="",J323=""),"Complete required fields",IF(L323&lt;0,"OVER SOLD","OK"))))</f>
        <v/>
      </c>
    </row>
    <row r="324" ht="23" customHeight="1">
      <c r="A324" s="9" t="n"/>
      <c r="B324" s="10" t="n"/>
      <c r="C324" s="10" t="n"/>
      <c r="D324" s="10" t="n"/>
      <c r="E324" s="10" t="n"/>
      <c r="F324" s="9" t="n"/>
      <c r="G324" s="10" t="n"/>
      <c r="H324" s="10" t="n"/>
      <c r="I324" s="11" t="n"/>
      <c r="J324" s="11" t="n"/>
      <c r="K324" s="12">
        <f>IF(A324="","",SUMIF(Sales!$C$2:$C$501,A324,Sales!$E$2:$E$501))</f>
        <v/>
      </c>
      <c r="L324" s="12">
        <f>IF(A324="","",H324-K324)</f>
        <v/>
      </c>
      <c r="M324" s="13">
        <f>IF(A324="","",ROUND(L324*I324,2))</f>
        <v/>
      </c>
      <c r="N324" s="13">
        <f>IF(A324="","",ROUND(L324*J324,2))</f>
        <v/>
      </c>
      <c r="O324" s="10" t="n"/>
      <c r="P324" s="12">
        <f>IF(A324="","",IF(COUNTIF($A$2:$A$501,A324)&gt;1,"Duplicate lot ID",IF(OR(B324="",H324="",I324="",J324=""),"Complete required fields",IF(L324&lt;0,"OVER SOLD","OK"))))</f>
        <v/>
      </c>
    </row>
    <row r="325" ht="23" customHeight="1">
      <c r="A325" s="14" t="n"/>
      <c r="B325" s="15" t="n"/>
      <c r="C325" s="15" t="n"/>
      <c r="D325" s="15" t="n"/>
      <c r="E325" s="15" t="n"/>
      <c r="F325" s="14" t="n"/>
      <c r="G325" s="15" t="n"/>
      <c r="H325" s="15" t="n"/>
      <c r="I325" s="16" t="n"/>
      <c r="J325" s="16" t="n"/>
      <c r="K325" s="12">
        <f>IF(A325="","",SUMIF(Sales!$C$2:$C$501,A325,Sales!$E$2:$E$501))</f>
        <v/>
      </c>
      <c r="L325" s="12">
        <f>IF(A325="","",H325-K325)</f>
        <v/>
      </c>
      <c r="M325" s="13">
        <f>IF(A325="","",ROUND(L325*I325,2))</f>
        <v/>
      </c>
      <c r="N325" s="13">
        <f>IF(A325="","",ROUND(L325*J325,2))</f>
        <v/>
      </c>
      <c r="O325" s="15" t="n"/>
      <c r="P325" s="12">
        <f>IF(A325="","",IF(COUNTIF($A$2:$A$501,A325)&gt;1,"Duplicate lot ID",IF(OR(B325="",H325="",I325="",J325=""),"Complete required fields",IF(L325&lt;0,"OVER SOLD","OK"))))</f>
        <v/>
      </c>
    </row>
    <row r="326" ht="23" customHeight="1">
      <c r="A326" s="9" t="n"/>
      <c r="B326" s="10" t="n"/>
      <c r="C326" s="10" t="n"/>
      <c r="D326" s="10" t="n"/>
      <c r="E326" s="10" t="n"/>
      <c r="F326" s="9" t="n"/>
      <c r="G326" s="10" t="n"/>
      <c r="H326" s="10" t="n"/>
      <c r="I326" s="11" t="n"/>
      <c r="J326" s="11" t="n"/>
      <c r="K326" s="12">
        <f>IF(A326="","",SUMIF(Sales!$C$2:$C$501,A326,Sales!$E$2:$E$501))</f>
        <v/>
      </c>
      <c r="L326" s="12">
        <f>IF(A326="","",H326-K326)</f>
        <v/>
      </c>
      <c r="M326" s="13">
        <f>IF(A326="","",ROUND(L326*I326,2))</f>
        <v/>
      </c>
      <c r="N326" s="13">
        <f>IF(A326="","",ROUND(L326*J326,2))</f>
        <v/>
      </c>
      <c r="O326" s="10" t="n"/>
      <c r="P326" s="12">
        <f>IF(A326="","",IF(COUNTIF($A$2:$A$501,A326)&gt;1,"Duplicate lot ID",IF(OR(B326="",H326="",I326="",J326=""),"Complete required fields",IF(L326&lt;0,"OVER SOLD","OK"))))</f>
        <v/>
      </c>
    </row>
    <row r="327" ht="23" customHeight="1">
      <c r="A327" s="14" t="n"/>
      <c r="B327" s="15" t="n"/>
      <c r="C327" s="15" t="n"/>
      <c r="D327" s="15" t="n"/>
      <c r="E327" s="15" t="n"/>
      <c r="F327" s="14" t="n"/>
      <c r="G327" s="15" t="n"/>
      <c r="H327" s="15" t="n"/>
      <c r="I327" s="16" t="n"/>
      <c r="J327" s="16" t="n"/>
      <c r="K327" s="12">
        <f>IF(A327="","",SUMIF(Sales!$C$2:$C$501,A327,Sales!$E$2:$E$501))</f>
        <v/>
      </c>
      <c r="L327" s="12">
        <f>IF(A327="","",H327-K327)</f>
        <v/>
      </c>
      <c r="M327" s="13">
        <f>IF(A327="","",ROUND(L327*I327,2))</f>
        <v/>
      </c>
      <c r="N327" s="13">
        <f>IF(A327="","",ROUND(L327*J327,2))</f>
        <v/>
      </c>
      <c r="O327" s="15" t="n"/>
      <c r="P327" s="12">
        <f>IF(A327="","",IF(COUNTIF($A$2:$A$501,A327)&gt;1,"Duplicate lot ID",IF(OR(B327="",H327="",I327="",J327=""),"Complete required fields",IF(L327&lt;0,"OVER SOLD","OK"))))</f>
        <v/>
      </c>
    </row>
    <row r="328" ht="23" customHeight="1">
      <c r="A328" s="9" t="n"/>
      <c r="B328" s="10" t="n"/>
      <c r="C328" s="10" t="n"/>
      <c r="D328" s="10" t="n"/>
      <c r="E328" s="10" t="n"/>
      <c r="F328" s="9" t="n"/>
      <c r="G328" s="10" t="n"/>
      <c r="H328" s="10" t="n"/>
      <c r="I328" s="11" t="n"/>
      <c r="J328" s="11" t="n"/>
      <c r="K328" s="12">
        <f>IF(A328="","",SUMIF(Sales!$C$2:$C$501,A328,Sales!$E$2:$E$501))</f>
        <v/>
      </c>
      <c r="L328" s="12">
        <f>IF(A328="","",H328-K328)</f>
        <v/>
      </c>
      <c r="M328" s="13">
        <f>IF(A328="","",ROUND(L328*I328,2))</f>
        <v/>
      </c>
      <c r="N328" s="13">
        <f>IF(A328="","",ROUND(L328*J328,2))</f>
        <v/>
      </c>
      <c r="O328" s="10" t="n"/>
      <c r="P328" s="12">
        <f>IF(A328="","",IF(COUNTIF($A$2:$A$501,A328)&gt;1,"Duplicate lot ID",IF(OR(B328="",H328="",I328="",J328=""),"Complete required fields",IF(L328&lt;0,"OVER SOLD","OK"))))</f>
        <v/>
      </c>
    </row>
    <row r="329" ht="23" customHeight="1">
      <c r="A329" s="14" t="n"/>
      <c r="B329" s="15" t="n"/>
      <c r="C329" s="15" t="n"/>
      <c r="D329" s="15" t="n"/>
      <c r="E329" s="15" t="n"/>
      <c r="F329" s="14" t="n"/>
      <c r="G329" s="15" t="n"/>
      <c r="H329" s="15" t="n"/>
      <c r="I329" s="16" t="n"/>
      <c r="J329" s="16" t="n"/>
      <c r="K329" s="12">
        <f>IF(A329="","",SUMIF(Sales!$C$2:$C$501,A329,Sales!$E$2:$E$501))</f>
        <v/>
      </c>
      <c r="L329" s="12">
        <f>IF(A329="","",H329-K329)</f>
        <v/>
      </c>
      <c r="M329" s="13">
        <f>IF(A329="","",ROUND(L329*I329,2))</f>
        <v/>
      </c>
      <c r="N329" s="13">
        <f>IF(A329="","",ROUND(L329*J329,2))</f>
        <v/>
      </c>
      <c r="O329" s="15" t="n"/>
      <c r="P329" s="12">
        <f>IF(A329="","",IF(COUNTIF($A$2:$A$501,A329)&gt;1,"Duplicate lot ID",IF(OR(B329="",H329="",I329="",J329=""),"Complete required fields",IF(L329&lt;0,"OVER SOLD","OK"))))</f>
        <v/>
      </c>
    </row>
    <row r="330" ht="23" customHeight="1">
      <c r="A330" s="9" t="n"/>
      <c r="B330" s="10" t="n"/>
      <c r="C330" s="10" t="n"/>
      <c r="D330" s="10" t="n"/>
      <c r="E330" s="10" t="n"/>
      <c r="F330" s="9" t="n"/>
      <c r="G330" s="10" t="n"/>
      <c r="H330" s="10" t="n"/>
      <c r="I330" s="11" t="n"/>
      <c r="J330" s="11" t="n"/>
      <c r="K330" s="12">
        <f>IF(A330="","",SUMIF(Sales!$C$2:$C$501,A330,Sales!$E$2:$E$501))</f>
        <v/>
      </c>
      <c r="L330" s="12">
        <f>IF(A330="","",H330-K330)</f>
        <v/>
      </c>
      <c r="M330" s="13">
        <f>IF(A330="","",ROUND(L330*I330,2))</f>
        <v/>
      </c>
      <c r="N330" s="13">
        <f>IF(A330="","",ROUND(L330*J330,2))</f>
        <v/>
      </c>
      <c r="O330" s="10" t="n"/>
      <c r="P330" s="12">
        <f>IF(A330="","",IF(COUNTIF($A$2:$A$501,A330)&gt;1,"Duplicate lot ID",IF(OR(B330="",H330="",I330="",J330=""),"Complete required fields",IF(L330&lt;0,"OVER SOLD","OK"))))</f>
        <v/>
      </c>
    </row>
    <row r="331" ht="23" customHeight="1">
      <c r="A331" s="14" t="n"/>
      <c r="B331" s="15" t="n"/>
      <c r="C331" s="15" t="n"/>
      <c r="D331" s="15" t="n"/>
      <c r="E331" s="15" t="n"/>
      <c r="F331" s="14" t="n"/>
      <c r="G331" s="15" t="n"/>
      <c r="H331" s="15" t="n"/>
      <c r="I331" s="16" t="n"/>
      <c r="J331" s="16" t="n"/>
      <c r="K331" s="12">
        <f>IF(A331="","",SUMIF(Sales!$C$2:$C$501,A331,Sales!$E$2:$E$501))</f>
        <v/>
      </c>
      <c r="L331" s="12">
        <f>IF(A331="","",H331-K331)</f>
        <v/>
      </c>
      <c r="M331" s="13">
        <f>IF(A331="","",ROUND(L331*I331,2))</f>
        <v/>
      </c>
      <c r="N331" s="13">
        <f>IF(A331="","",ROUND(L331*J331,2))</f>
        <v/>
      </c>
      <c r="O331" s="15" t="n"/>
      <c r="P331" s="12">
        <f>IF(A331="","",IF(COUNTIF($A$2:$A$501,A331)&gt;1,"Duplicate lot ID",IF(OR(B331="",H331="",I331="",J331=""),"Complete required fields",IF(L331&lt;0,"OVER SOLD","OK"))))</f>
        <v/>
      </c>
    </row>
    <row r="332" ht="23" customHeight="1">
      <c r="A332" s="9" t="n"/>
      <c r="B332" s="10" t="n"/>
      <c r="C332" s="10" t="n"/>
      <c r="D332" s="10" t="n"/>
      <c r="E332" s="10" t="n"/>
      <c r="F332" s="9" t="n"/>
      <c r="G332" s="10" t="n"/>
      <c r="H332" s="10" t="n"/>
      <c r="I332" s="11" t="n"/>
      <c r="J332" s="11" t="n"/>
      <c r="K332" s="12">
        <f>IF(A332="","",SUMIF(Sales!$C$2:$C$501,A332,Sales!$E$2:$E$501))</f>
        <v/>
      </c>
      <c r="L332" s="12">
        <f>IF(A332="","",H332-K332)</f>
        <v/>
      </c>
      <c r="M332" s="13">
        <f>IF(A332="","",ROUND(L332*I332,2))</f>
        <v/>
      </c>
      <c r="N332" s="13">
        <f>IF(A332="","",ROUND(L332*J332,2))</f>
        <v/>
      </c>
      <c r="O332" s="10" t="n"/>
      <c r="P332" s="12">
        <f>IF(A332="","",IF(COUNTIF($A$2:$A$501,A332)&gt;1,"Duplicate lot ID",IF(OR(B332="",H332="",I332="",J332=""),"Complete required fields",IF(L332&lt;0,"OVER SOLD","OK"))))</f>
        <v/>
      </c>
    </row>
    <row r="333" ht="23" customHeight="1">
      <c r="A333" s="14" t="n"/>
      <c r="B333" s="15" t="n"/>
      <c r="C333" s="15" t="n"/>
      <c r="D333" s="15" t="n"/>
      <c r="E333" s="15" t="n"/>
      <c r="F333" s="14" t="n"/>
      <c r="G333" s="15" t="n"/>
      <c r="H333" s="15" t="n"/>
      <c r="I333" s="16" t="n"/>
      <c r="J333" s="16" t="n"/>
      <c r="K333" s="12">
        <f>IF(A333="","",SUMIF(Sales!$C$2:$C$501,A333,Sales!$E$2:$E$501))</f>
        <v/>
      </c>
      <c r="L333" s="12">
        <f>IF(A333="","",H333-K333)</f>
        <v/>
      </c>
      <c r="M333" s="13">
        <f>IF(A333="","",ROUND(L333*I333,2))</f>
        <v/>
      </c>
      <c r="N333" s="13">
        <f>IF(A333="","",ROUND(L333*J333,2))</f>
        <v/>
      </c>
      <c r="O333" s="15" t="n"/>
      <c r="P333" s="12">
        <f>IF(A333="","",IF(COUNTIF($A$2:$A$501,A333)&gt;1,"Duplicate lot ID",IF(OR(B333="",H333="",I333="",J333=""),"Complete required fields",IF(L333&lt;0,"OVER SOLD","OK"))))</f>
        <v/>
      </c>
    </row>
    <row r="334" ht="23" customHeight="1">
      <c r="A334" s="9" t="n"/>
      <c r="B334" s="10" t="n"/>
      <c r="C334" s="10" t="n"/>
      <c r="D334" s="10" t="n"/>
      <c r="E334" s="10" t="n"/>
      <c r="F334" s="9" t="n"/>
      <c r="G334" s="10" t="n"/>
      <c r="H334" s="10" t="n"/>
      <c r="I334" s="11" t="n"/>
      <c r="J334" s="11" t="n"/>
      <c r="K334" s="12">
        <f>IF(A334="","",SUMIF(Sales!$C$2:$C$501,A334,Sales!$E$2:$E$501))</f>
        <v/>
      </c>
      <c r="L334" s="12">
        <f>IF(A334="","",H334-K334)</f>
        <v/>
      </c>
      <c r="M334" s="13">
        <f>IF(A334="","",ROUND(L334*I334,2))</f>
        <v/>
      </c>
      <c r="N334" s="13">
        <f>IF(A334="","",ROUND(L334*J334,2))</f>
        <v/>
      </c>
      <c r="O334" s="10" t="n"/>
      <c r="P334" s="12">
        <f>IF(A334="","",IF(COUNTIF($A$2:$A$501,A334)&gt;1,"Duplicate lot ID",IF(OR(B334="",H334="",I334="",J334=""),"Complete required fields",IF(L334&lt;0,"OVER SOLD","OK"))))</f>
        <v/>
      </c>
    </row>
    <row r="335" ht="23" customHeight="1">
      <c r="A335" s="14" t="n"/>
      <c r="B335" s="15" t="n"/>
      <c r="C335" s="15" t="n"/>
      <c r="D335" s="15" t="n"/>
      <c r="E335" s="15" t="n"/>
      <c r="F335" s="14" t="n"/>
      <c r="G335" s="15" t="n"/>
      <c r="H335" s="15" t="n"/>
      <c r="I335" s="16" t="n"/>
      <c r="J335" s="16" t="n"/>
      <c r="K335" s="12">
        <f>IF(A335="","",SUMIF(Sales!$C$2:$C$501,A335,Sales!$E$2:$E$501))</f>
        <v/>
      </c>
      <c r="L335" s="12">
        <f>IF(A335="","",H335-K335)</f>
        <v/>
      </c>
      <c r="M335" s="13">
        <f>IF(A335="","",ROUND(L335*I335,2))</f>
        <v/>
      </c>
      <c r="N335" s="13">
        <f>IF(A335="","",ROUND(L335*J335,2))</f>
        <v/>
      </c>
      <c r="O335" s="15" t="n"/>
      <c r="P335" s="12">
        <f>IF(A335="","",IF(COUNTIF($A$2:$A$501,A335)&gt;1,"Duplicate lot ID",IF(OR(B335="",H335="",I335="",J335=""),"Complete required fields",IF(L335&lt;0,"OVER SOLD","OK"))))</f>
        <v/>
      </c>
    </row>
    <row r="336" ht="23" customHeight="1">
      <c r="A336" s="9" t="n"/>
      <c r="B336" s="10" t="n"/>
      <c r="C336" s="10" t="n"/>
      <c r="D336" s="10" t="n"/>
      <c r="E336" s="10" t="n"/>
      <c r="F336" s="9" t="n"/>
      <c r="G336" s="10" t="n"/>
      <c r="H336" s="10" t="n"/>
      <c r="I336" s="11" t="n"/>
      <c r="J336" s="11" t="n"/>
      <c r="K336" s="12">
        <f>IF(A336="","",SUMIF(Sales!$C$2:$C$501,A336,Sales!$E$2:$E$501))</f>
        <v/>
      </c>
      <c r="L336" s="12">
        <f>IF(A336="","",H336-K336)</f>
        <v/>
      </c>
      <c r="M336" s="13">
        <f>IF(A336="","",ROUND(L336*I336,2))</f>
        <v/>
      </c>
      <c r="N336" s="13">
        <f>IF(A336="","",ROUND(L336*J336,2))</f>
        <v/>
      </c>
      <c r="O336" s="10" t="n"/>
      <c r="P336" s="12">
        <f>IF(A336="","",IF(COUNTIF($A$2:$A$501,A336)&gt;1,"Duplicate lot ID",IF(OR(B336="",H336="",I336="",J336=""),"Complete required fields",IF(L336&lt;0,"OVER SOLD","OK"))))</f>
        <v/>
      </c>
    </row>
    <row r="337" ht="23" customHeight="1">
      <c r="A337" s="14" t="n"/>
      <c r="B337" s="15" t="n"/>
      <c r="C337" s="15" t="n"/>
      <c r="D337" s="15" t="n"/>
      <c r="E337" s="15" t="n"/>
      <c r="F337" s="14" t="n"/>
      <c r="G337" s="15" t="n"/>
      <c r="H337" s="15" t="n"/>
      <c r="I337" s="16" t="n"/>
      <c r="J337" s="16" t="n"/>
      <c r="K337" s="12">
        <f>IF(A337="","",SUMIF(Sales!$C$2:$C$501,A337,Sales!$E$2:$E$501))</f>
        <v/>
      </c>
      <c r="L337" s="12">
        <f>IF(A337="","",H337-K337)</f>
        <v/>
      </c>
      <c r="M337" s="13">
        <f>IF(A337="","",ROUND(L337*I337,2))</f>
        <v/>
      </c>
      <c r="N337" s="13">
        <f>IF(A337="","",ROUND(L337*J337,2))</f>
        <v/>
      </c>
      <c r="O337" s="15" t="n"/>
      <c r="P337" s="12">
        <f>IF(A337="","",IF(COUNTIF($A$2:$A$501,A337)&gt;1,"Duplicate lot ID",IF(OR(B337="",H337="",I337="",J337=""),"Complete required fields",IF(L337&lt;0,"OVER SOLD","OK"))))</f>
        <v/>
      </c>
    </row>
    <row r="338" ht="23" customHeight="1">
      <c r="A338" s="9" t="n"/>
      <c r="B338" s="10" t="n"/>
      <c r="C338" s="10" t="n"/>
      <c r="D338" s="10" t="n"/>
      <c r="E338" s="10" t="n"/>
      <c r="F338" s="9" t="n"/>
      <c r="G338" s="10" t="n"/>
      <c r="H338" s="10" t="n"/>
      <c r="I338" s="11" t="n"/>
      <c r="J338" s="11" t="n"/>
      <c r="K338" s="12">
        <f>IF(A338="","",SUMIF(Sales!$C$2:$C$501,A338,Sales!$E$2:$E$501))</f>
        <v/>
      </c>
      <c r="L338" s="12">
        <f>IF(A338="","",H338-K338)</f>
        <v/>
      </c>
      <c r="M338" s="13">
        <f>IF(A338="","",ROUND(L338*I338,2))</f>
        <v/>
      </c>
      <c r="N338" s="13">
        <f>IF(A338="","",ROUND(L338*J338,2))</f>
        <v/>
      </c>
      <c r="O338" s="10" t="n"/>
      <c r="P338" s="12">
        <f>IF(A338="","",IF(COUNTIF($A$2:$A$501,A338)&gt;1,"Duplicate lot ID",IF(OR(B338="",H338="",I338="",J338=""),"Complete required fields",IF(L338&lt;0,"OVER SOLD","OK"))))</f>
        <v/>
      </c>
    </row>
    <row r="339" ht="23" customHeight="1">
      <c r="A339" s="14" t="n"/>
      <c r="B339" s="15" t="n"/>
      <c r="C339" s="15" t="n"/>
      <c r="D339" s="15" t="n"/>
      <c r="E339" s="15" t="n"/>
      <c r="F339" s="14" t="n"/>
      <c r="G339" s="15" t="n"/>
      <c r="H339" s="15" t="n"/>
      <c r="I339" s="16" t="n"/>
      <c r="J339" s="16" t="n"/>
      <c r="K339" s="12">
        <f>IF(A339="","",SUMIF(Sales!$C$2:$C$501,A339,Sales!$E$2:$E$501))</f>
        <v/>
      </c>
      <c r="L339" s="12">
        <f>IF(A339="","",H339-K339)</f>
        <v/>
      </c>
      <c r="M339" s="13">
        <f>IF(A339="","",ROUND(L339*I339,2))</f>
        <v/>
      </c>
      <c r="N339" s="13">
        <f>IF(A339="","",ROUND(L339*J339,2))</f>
        <v/>
      </c>
      <c r="O339" s="15" t="n"/>
      <c r="P339" s="12">
        <f>IF(A339="","",IF(COUNTIF($A$2:$A$501,A339)&gt;1,"Duplicate lot ID",IF(OR(B339="",H339="",I339="",J339=""),"Complete required fields",IF(L339&lt;0,"OVER SOLD","OK"))))</f>
        <v/>
      </c>
    </row>
    <row r="340" ht="23" customHeight="1">
      <c r="A340" s="9" t="n"/>
      <c r="B340" s="10" t="n"/>
      <c r="C340" s="10" t="n"/>
      <c r="D340" s="10" t="n"/>
      <c r="E340" s="10" t="n"/>
      <c r="F340" s="9" t="n"/>
      <c r="G340" s="10" t="n"/>
      <c r="H340" s="10" t="n"/>
      <c r="I340" s="11" t="n"/>
      <c r="J340" s="11" t="n"/>
      <c r="K340" s="12">
        <f>IF(A340="","",SUMIF(Sales!$C$2:$C$501,A340,Sales!$E$2:$E$501))</f>
        <v/>
      </c>
      <c r="L340" s="12">
        <f>IF(A340="","",H340-K340)</f>
        <v/>
      </c>
      <c r="M340" s="13">
        <f>IF(A340="","",ROUND(L340*I340,2))</f>
        <v/>
      </c>
      <c r="N340" s="13">
        <f>IF(A340="","",ROUND(L340*J340,2))</f>
        <v/>
      </c>
      <c r="O340" s="10" t="n"/>
      <c r="P340" s="12">
        <f>IF(A340="","",IF(COUNTIF($A$2:$A$501,A340)&gt;1,"Duplicate lot ID",IF(OR(B340="",H340="",I340="",J340=""),"Complete required fields",IF(L340&lt;0,"OVER SOLD","OK"))))</f>
        <v/>
      </c>
    </row>
    <row r="341" ht="23" customHeight="1">
      <c r="A341" s="14" t="n"/>
      <c r="B341" s="15" t="n"/>
      <c r="C341" s="15" t="n"/>
      <c r="D341" s="15" t="n"/>
      <c r="E341" s="15" t="n"/>
      <c r="F341" s="14" t="n"/>
      <c r="G341" s="15" t="n"/>
      <c r="H341" s="15" t="n"/>
      <c r="I341" s="16" t="n"/>
      <c r="J341" s="16" t="n"/>
      <c r="K341" s="12">
        <f>IF(A341="","",SUMIF(Sales!$C$2:$C$501,A341,Sales!$E$2:$E$501))</f>
        <v/>
      </c>
      <c r="L341" s="12">
        <f>IF(A341="","",H341-K341)</f>
        <v/>
      </c>
      <c r="M341" s="13">
        <f>IF(A341="","",ROUND(L341*I341,2))</f>
        <v/>
      </c>
      <c r="N341" s="13">
        <f>IF(A341="","",ROUND(L341*J341,2))</f>
        <v/>
      </c>
      <c r="O341" s="15" t="n"/>
      <c r="P341" s="12">
        <f>IF(A341="","",IF(COUNTIF($A$2:$A$501,A341)&gt;1,"Duplicate lot ID",IF(OR(B341="",H341="",I341="",J341=""),"Complete required fields",IF(L341&lt;0,"OVER SOLD","OK"))))</f>
        <v/>
      </c>
    </row>
    <row r="342" ht="23" customHeight="1">
      <c r="A342" s="9" t="n"/>
      <c r="B342" s="10" t="n"/>
      <c r="C342" s="10" t="n"/>
      <c r="D342" s="10" t="n"/>
      <c r="E342" s="10" t="n"/>
      <c r="F342" s="9" t="n"/>
      <c r="G342" s="10" t="n"/>
      <c r="H342" s="10" t="n"/>
      <c r="I342" s="11" t="n"/>
      <c r="J342" s="11" t="n"/>
      <c r="K342" s="12">
        <f>IF(A342="","",SUMIF(Sales!$C$2:$C$501,A342,Sales!$E$2:$E$501))</f>
        <v/>
      </c>
      <c r="L342" s="12">
        <f>IF(A342="","",H342-K342)</f>
        <v/>
      </c>
      <c r="M342" s="13">
        <f>IF(A342="","",ROUND(L342*I342,2))</f>
        <v/>
      </c>
      <c r="N342" s="13">
        <f>IF(A342="","",ROUND(L342*J342,2))</f>
        <v/>
      </c>
      <c r="O342" s="10" t="n"/>
      <c r="P342" s="12">
        <f>IF(A342="","",IF(COUNTIF($A$2:$A$501,A342)&gt;1,"Duplicate lot ID",IF(OR(B342="",H342="",I342="",J342=""),"Complete required fields",IF(L342&lt;0,"OVER SOLD","OK"))))</f>
        <v/>
      </c>
    </row>
    <row r="343" ht="23" customHeight="1">
      <c r="A343" s="14" t="n"/>
      <c r="B343" s="15" t="n"/>
      <c r="C343" s="15" t="n"/>
      <c r="D343" s="15" t="n"/>
      <c r="E343" s="15" t="n"/>
      <c r="F343" s="14" t="n"/>
      <c r="G343" s="15" t="n"/>
      <c r="H343" s="15" t="n"/>
      <c r="I343" s="16" t="n"/>
      <c r="J343" s="16" t="n"/>
      <c r="K343" s="12">
        <f>IF(A343="","",SUMIF(Sales!$C$2:$C$501,A343,Sales!$E$2:$E$501))</f>
        <v/>
      </c>
      <c r="L343" s="12">
        <f>IF(A343="","",H343-K343)</f>
        <v/>
      </c>
      <c r="M343" s="13">
        <f>IF(A343="","",ROUND(L343*I343,2))</f>
        <v/>
      </c>
      <c r="N343" s="13">
        <f>IF(A343="","",ROUND(L343*J343,2))</f>
        <v/>
      </c>
      <c r="O343" s="15" t="n"/>
      <c r="P343" s="12">
        <f>IF(A343="","",IF(COUNTIF($A$2:$A$501,A343)&gt;1,"Duplicate lot ID",IF(OR(B343="",H343="",I343="",J343=""),"Complete required fields",IF(L343&lt;0,"OVER SOLD","OK"))))</f>
        <v/>
      </c>
    </row>
    <row r="344" ht="23" customHeight="1">
      <c r="A344" s="9" t="n"/>
      <c r="B344" s="10" t="n"/>
      <c r="C344" s="10" t="n"/>
      <c r="D344" s="10" t="n"/>
      <c r="E344" s="10" t="n"/>
      <c r="F344" s="9" t="n"/>
      <c r="G344" s="10" t="n"/>
      <c r="H344" s="10" t="n"/>
      <c r="I344" s="11" t="n"/>
      <c r="J344" s="11" t="n"/>
      <c r="K344" s="12">
        <f>IF(A344="","",SUMIF(Sales!$C$2:$C$501,A344,Sales!$E$2:$E$501))</f>
        <v/>
      </c>
      <c r="L344" s="12">
        <f>IF(A344="","",H344-K344)</f>
        <v/>
      </c>
      <c r="M344" s="13">
        <f>IF(A344="","",ROUND(L344*I344,2))</f>
        <v/>
      </c>
      <c r="N344" s="13">
        <f>IF(A344="","",ROUND(L344*J344,2))</f>
        <v/>
      </c>
      <c r="O344" s="10" t="n"/>
      <c r="P344" s="12">
        <f>IF(A344="","",IF(COUNTIF($A$2:$A$501,A344)&gt;1,"Duplicate lot ID",IF(OR(B344="",H344="",I344="",J344=""),"Complete required fields",IF(L344&lt;0,"OVER SOLD","OK"))))</f>
        <v/>
      </c>
    </row>
    <row r="345" ht="23" customHeight="1">
      <c r="A345" s="14" t="n"/>
      <c r="B345" s="15" t="n"/>
      <c r="C345" s="15" t="n"/>
      <c r="D345" s="15" t="n"/>
      <c r="E345" s="15" t="n"/>
      <c r="F345" s="14" t="n"/>
      <c r="G345" s="15" t="n"/>
      <c r="H345" s="15" t="n"/>
      <c r="I345" s="16" t="n"/>
      <c r="J345" s="16" t="n"/>
      <c r="K345" s="12">
        <f>IF(A345="","",SUMIF(Sales!$C$2:$C$501,A345,Sales!$E$2:$E$501))</f>
        <v/>
      </c>
      <c r="L345" s="12">
        <f>IF(A345="","",H345-K345)</f>
        <v/>
      </c>
      <c r="M345" s="13">
        <f>IF(A345="","",ROUND(L345*I345,2))</f>
        <v/>
      </c>
      <c r="N345" s="13">
        <f>IF(A345="","",ROUND(L345*J345,2))</f>
        <v/>
      </c>
      <c r="O345" s="15" t="n"/>
      <c r="P345" s="12">
        <f>IF(A345="","",IF(COUNTIF($A$2:$A$501,A345)&gt;1,"Duplicate lot ID",IF(OR(B345="",H345="",I345="",J345=""),"Complete required fields",IF(L345&lt;0,"OVER SOLD","OK"))))</f>
        <v/>
      </c>
    </row>
    <row r="346" ht="23" customHeight="1">
      <c r="A346" s="9" t="n"/>
      <c r="B346" s="10" t="n"/>
      <c r="C346" s="10" t="n"/>
      <c r="D346" s="10" t="n"/>
      <c r="E346" s="10" t="n"/>
      <c r="F346" s="9" t="n"/>
      <c r="G346" s="10" t="n"/>
      <c r="H346" s="10" t="n"/>
      <c r="I346" s="11" t="n"/>
      <c r="J346" s="11" t="n"/>
      <c r="K346" s="12">
        <f>IF(A346="","",SUMIF(Sales!$C$2:$C$501,A346,Sales!$E$2:$E$501))</f>
        <v/>
      </c>
      <c r="L346" s="12">
        <f>IF(A346="","",H346-K346)</f>
        <v/>
      </c>
      <c r="M346" s="13">
        <f>IF(A346="","",ROUND(L346*I346,2))</f>
        <v/>
      </c>
      <c r="N346" s="13">
        <f>IF(A346="","",ROUND(L346*J346,2))</f>
        <v/>
      </c>
      <c r="O346" s="10" t="n"/>
      <c r="P346" s="12">
        <f>IF(A346="","",IF(COUNTIF($A$2:$A$501,A346)&gt;1,"Duplicate lot ID",IF(OR(B346="",H346="",I346="",J346=""),"Complete required fields",IF(L346&lt;0,"OVER SOLD","OK"))))</f>
        <v/>
      </c>
    </row>
    <row r="347" ht="23" customHeight="1">
      <c r="A347" s="14" t="n"/>
      <c r="B347" s="15" t="n"/>
      <c r="C347" s="15" t="n"/>
      <c r="D347" s="15" t="n"/>
      <c r="E347" s="15" t="n"/>
      <c r="F347" s="14" t="n"/>
      <c r="G347" s="15" t="n"/>
      <c r="H347" s="15" t="n"/>
      <c r="I347" s="16" t="n"/>
      <c r="J347" s="16" t="n"/>
      <c r="K347" s="12">
        <f>IF(A347="","",SUMIF(Sales!$C$2:$C$501,A347,Sales!$E$2:$E$501))</f>
        <v/>
      </c>
      <c r="L347" s="12">
        <f>IF(A347="","",H347-K347)</f>
        <v/>
      </c>
      <c r="M347" s="13">
        <f>IF(A347="","",ROUND(L347*I347,2))</f>
        <v/>
      </c>
      <c r="N347" s="13">
        <f>IF(A347="","",ROUND(L347*J347,2))</f>
        <v/>
      </c>
      <c r="O347" s="15" t="n"/>
      <c r="P347" s="12">
        <f>IF(A347="","",IF(COUNTIF($A$2:$A$501,A347)&gt;1,"Duplicate lot ID",IF(OR(B347="",H347="",I347="",J347=""),"Complete required fields",IF(L347&lt;0,"OVER SOLD","OK"))))</f>
        <v/>
      </c>
    </row>
    <row r="348" ht="23" customHeight="1">
      <c r="A348" s="9" t="n"/>
      <c r="B348" s="10" t="n"/>
      <c r="C348" s="10" t="n"/>
      <c r="D348" s="10" t="n"/>
      <c r="E348" s="10" t="n"/>
      <c r="F348" s="9" t="n"/>
      <c r="G348" s="10" t="n"/>
      <c r="H348" s="10" t="n"/>
      <c r="I348" s="11" t="n"/>
      <c r="J348" s="11" t="n"/>
      <c r="K348" s="12">
        <f>IF(A348="","",SUMIF(Sales!$C$2:$C$501,A348,Sales!$E$2:$E$501))</f>
        <v/>
      </c>
      <c r="L348" s="12">
        <f>IF(A348="","",H348-K348)</f>
        <v/>
      </c>
      <c r="M348" s="13">
        <f>IF(A348="","",ROUND(L348*I348,2))</f>
        <v/>
      </c>
      <c r="N348" s="13">
        <f>IF(A348="","",ROUND(L348*J348,2))</f>
        <v/>
      </c>
      <c r="O348" s="10" t="n"/>
      <c r="P348" s="12">
        <f>IF(A348="","",IF(COUNTIF($A$2:$A$501,A348)&gt;1,"Duplicate lot ID",IF(OR(B348="",H348="",I348="",J348=""),"Complete required fields",IF(L348&lt;0,"OVER SOLD","OK"))))</f>
        <v/>
      </c>
    </row>
    <row r="349" ht="23" customHeight="1">
      <c r="A349" s="14" t="n"/>
      <c r="B349" s="15" t="n"/>
      <c r="C349" s="15" t="n"/>
      <c r="D349" s="15" t="n"/>
      <c r="E349" s="15" t="n"/>
      <c r="F349" s="14" t="n"/>
      <c r="G349" s="15" t="n"/>
      <c r="H349" s="15" t="n"/>
      <c r="I349" s="16" t="n"/>
      <c r="J349" s="16" t="n"/>
      <c r="K349" s="12">
        <f>IF(A349="","",SUMIF(Sales!$C$2:$C$501,A349,Sales!$E$2:$E$501))</f>
        <v/>
      </c>
      <c r="L349" s="12">
        <f>IF(A349="","",H349-K349)</f>
        <v/>
      </c>
      <c r="M349" s="13">
        <f>IF(A349="","",ROUND(L349*I349,2))</f>
        <v/>
      </c>
      <c r="N349" s="13">
        <f>IF(A349="","",ROUND(L349*J349,2))</f>
        <v/>
      </c>
      <c r="O349" s="15" t="n"/>
      <c r="P349" s="12">
        <f>IF(A349="","",IF(COUNTIF($A$2:$A$501,A349)&gt;1,"Duplicate lot ID",IF(OR(B349="",H349="",I349="",J349=""),"Complete required fields",IF(L349&lt;0,"OVER SOLD","OK"))))</f>
        <v/>
      </c>
    </row>
    <row r="350" ht="23" customHeight="1">
      <c r="A350" s="9" t="n"/>
      <c r="B350" s="10" t="n"/>
      <c r="C350" s="10" t="n"/>
      <c r="D350" s="10" t="n"/>
      <c r="E350" s="10" t="n"/>
      <c r="F350" s="9" t="n"/>
      <c r="G350" s="10" t="n"/>
      <c r="H350" s="10" t="n"/>
      <c r="I350" s="11" t="n"/>
      <c r="J350" s="11" t="n"/>
      <c r="K350" s="12">
        <f>IF(A350="","",SUMIF(Sales!$C$2:$C$501,A350,Sales!$E$2:$E$501))</f>
        <v/>
      </c>
      <c r="L350" s="12">
        <f>IF(A350="","",H350-K350)</f>
        <v/>
      </c>
      <c r="M350" s="13">
        <f>IF(A350="","",ROUND(L350*I350,2))</f>
        <v/>
      </c>
      <c r="N350" s="13">
        <f>IF(A350="","",ROUND(L350*J350,2))</f>
        <v/>
      </c>
      <c r="O350" s="10" t="n"/>
      <c r="P350" s="12">
        <f>IF(A350="","",IF(COUNTIF($A$2:$A$501,A350)&gt;1,"Duplicate lot ID",IF(OR(B350="",H350="",I350="",J350=""),"Complete required fields",IF(L350&lt;0,"OVER SOLD","OK"))))</f>
        <v/>
      </c>
    </row>
    <row r="351" ht="23" customHeight="1">
      <c r="A351" s="14" t="n"/>
      <c r="B351" s="15" t="n"/>
      <c r="C351" s="15" t="n"/>
      <c r="D351" s="15" t="n"/>
      <c r="E351" s="15" t="n"/>
      <c r="F351" s="14" t="n"/>
      <c r="G351" s="15" t="n"/>
      <c r="H351" s="15" t="n"/>
      <c r="I351" s="16" t="n"/>
      <c r="J351" s="16" t="n"/>
      <c r="K351" s="12">
        <f>IF(A351="","",SUMIF(Sales!$C$2:$C$501,A351,Sales!$E$2:$E$501))</f>
        <v/>
      </c>
      <c r="L351" s="12">
        <f>IF(A351="","",H351-K351)</f>
        <v/>
      </c>
      <c r="M351" s="13">
        <f>IF(A351="","",ROUND(L351*I351,2))</f>
        <v/>
      </c>
      <c r="N351" s="13">
        <f>IF(A351="","",ROUND(L351*J351,2))</f>
        <v/>
      </c>
      <c r="O351" s="15" t="n"/>
      <c r="P351" s="12">
        <f>IF(A351="","",IF(COUNTIF($A$2:$A$501,A351)&gt;1,"Duplicate lot ID",IF(OR(B351="",H351="",I351="",J351=""),"Complete required fields",IF(L351&lt;0,"OVER SOLD","OK"))))</f>
        <v/>
      </c>
    </row>
    <row r="352" ht="23" customHeight="1">
      <c r="A352" s="9" t="n"/>
      <c r="B352" s="10" t="n"/>
      <c r="C352" s="10" t="n"/>
      <c r="D352" s="10" t="n"/>
      <c r="E352" s="10" t="n"/>
      <c r="F352" s="9" t="n"/>
      <c r="G352" s="10" t="n"/>
      <c r="H352" s="10" t="n"/>
      <c r="I352" s="11" t="n"/>
      <c r="J352" s="11" t="n"/>
      <c r="K352" s="12">
        <f>IF(A352="","",SUMIF(Sales!$C$2:$C$501,A352,Sales!$E$2:$E$501))</f>
        <v/>
      </c>
      <c r="L352" s="12">
        <f>IF(A352="","",H352-K352)</f>
        <v/>
      </c>
      <c r="M352" s="13">
        <f>IF(A352="","",ROUND(L352*I352,2))</f>
        <v/>
      </c>
      <c r="N352" s="13">
        <f>IF(A352="","",ROUND(L352*J352,2))</f>
        <v/>
      </c>
      <c r="O352" s="10" t="n"/>
      <c r="P352" s="12">
        <f>IF(A352="","",IF(COUNTIF($A$2:$A$501,A352)&gt;1,"Duplicate lot ID",IF(OR(B352="",H352="",I352="",J352=""),"Complete required fields",IF(L352&lt;0,"OVER SOLD","OK"))))</f>
        <v/>
      </c>
    </row>
    <row r="353" ht="23" customHeight="1">
      <c r="A353" s="14" t="n"/>
      <c r="B353" s="15" t="n"/>
      <c r="C353" s="15" t="n"/>
      <c r="D353" s="15" t="n"/>
      <c r="E353" s="15" t="n"/>
      <c r="F353" s="14" t="n"/>
      <c r="G353" s="15" t="n"/>
      <c r="H353" s="15" t="n"/>
      <c r="I353" s="16" t="n"/>
      <c r="J353" s="16" t="n"/>
      <c r="K353" s="12">
        <f>IF(A353="","",SUMIF(Sales!$C$2:$C$501,A353,Sales!$E$2:$E$501))</f>
        <v/>
      </c>
      <c r="L353" s="12">
        <f>IF(A353="","",H353-K353)</f>
        <v/>
      </c>
      <c r="M353" s="13">
        <f>IF(A353="","",ROUND(L353*I353,2))</f>
        <v/>
      </c>
      <c r="N353" s="13">
        <f>IF(A353="","",ROUND(L353*J353,2))</f>
        <v/>
      </c>
      <c r="O353" s="15" t="n"/>
      <c r="P353" s="12">
        <f>IF(A353="","",IF(COUNTIF($A$2:$A$501,A353)&gt;1,"Duplicate lot ID",IF(OR(B353="",H353="",I353="",J353=""),"Complete required fields",IF(L353&lt;0,"OVER SOLD","OK"))))</f>
        <v/>
      </c>
    </row>
    <row r="354" ht="23" customHeight="1">
      <c r="A354" s="9" t="n"/>
      <c r="B354" s="10" t="n"/>
      <c r="C354" s="10" t="n"/>
      <c r="D354" s="10" t="n"/>
      <c r="E354" s="10" t="n"/>
      <c r="F354" s="9" t="n"/>
      <c r="G354" s="10" t="n"/>
      <c r="H354" s="10" t="n"/>
      <c r="I354" s="11" t="n"/>
      <c r="J354" s="11" t="n"/>
      <c r="K354" s="12">
        <f>IF(A354="","",SUMIF(Sales!$C$2:$C$501,A354,Sales!$E$2:$E$501))</f>
        <v/>
      </c>
      <c r="L354" s="12">
        <f>IF(A354="","",H354-K354)</f>
        <v/>
      </c>
      <c r="M354" s="13">
        <f>IF(A354="","",ROUND(L354*I354,2))</f>
        <v/>
      </c>
      <c r="N354" s="13">
        <f>IF(A354="","",ROUND(L354*J354,2))</f>
        <v/>
      </c>
      <c r="O354" s="10" t="n"/>
      <c r="P354" s="12">
        <f>IF(A354="","",IF(COUNTIF($A$2:$A$501,A354)&gt;1,"Duplicate lot ID",IF(OR(B354="",H354="",I354="",J354=""),"Complete required fields",IF(L354&lt;0,"OVER SOLD","OK"))))</f>
        <v/>
      </c>
    </row>
    <row r="355" ht="23" customHeight="1">
      <c r="A355" s="14" t="n"/>
      <c r="B355" s="15" t="n"/>
      <c r="C355" s="15" t="n"/>
      <c r="D355" s="15" t="n"/>
      <c r="E355" s="15" t="n"/>
      <c r="F355" s="14" t="n"/>
      <c r="G355" s="15" t="n"/>
      <c r="H355" s="15" t="n"/>
      <c r="I355" s="16" t="n"/>
      <c r="J355" s="16" t="n"/>
      <c r="K355" s="12">
        <f>IF(A355="","",SUMIF(Sales!$C$2:$C$501,A355,Sales!$E$2:$E$501))</f>
        <v/>
      </c>
      <c r="L355" s="12">
        <f>IF(A355="","",H355-K355)</f>
        <v/>
      </c>
      <c r="M355" s="13">
        <f>IF(A355="","",ROUND(L355*I355,2))</f>
        <v/>
      </c>
      <c r="N355" s="13">
        <f>IF(A355="","",ROUND(L355*J355,2))</f>
        <v/>
      </c>
      <c r="O355" s="15" t="n"/>
      <c r="P355" s="12">
        <f>IF(A355="","",IF(COUNTIF($A$2:$A$501,A355)&gt;1,"Duplicate lot ID",IF(OR(B355="",H355="",I355="",J355=""),"Complete required fields",IF(L355&lt;0,"OVER SOLD","OK"))))</f>
        <v/>
      </c>
    </row>
    <row r="356" ht="23" customHeight="1">
      <c r="A356" s="9" t="n"/>
      <c r="B356" s="10" t="n"/>
      <c r="C356" s="10" t="n"/>
      <c r="D356" s="10" t="n"/>
      <c r="E356" s="10" t="n"/>
      <c r="F356" s="9" t="n"/>
      <c r="G356" s="10" t="n"/>
      <c r="H356" s="10" t="n"/>
      <c r="I356" s="11" t="n"/>
      <c r="J356" s="11" t="n"/>
      <c r="K356" s="12">
        <f>IF(A356="","",SUMIF(Sales!$C$2:$C$501,A356,Sales!$E$2:$E$501))</f>
        <v/>
      </c>
      <c r="L356" s="12">
        <f>IF(A356="","",H356-K356)</f>
        <v/>
      </c>
      <c r="M356" s="13">
        <f>IF(A356="","",ROUND(L356*I356,2))</f>
        <v/>
      </c>
      <c r="N356" s="13">
        <f>IF(A356="","",ROUND(L356*J356,2))</f>
        <v/>
      </c>
      <c r="O356" s="10" t="n"/>
      <c r="P356" s="12">
        <f>IF(A356="","",IF(COUNTIF($A$2:$A$501,A356)&gt;1,"Duplicate lot ID",IF(OR(B356="",H356="",I356="",J356=""),"Complete required fields",IF(L356&lt;0,"OVER SOLD","OK"))))</f>
        <v/>
      </c>
    </row>
    <row r="357" ht="23" customHeight="1">
      <c r="A357" s="14" t="n"/>
      <c r="B357" s="15" t="n"/>
      <c r="C357" s="15" t="n"/>
      <c r="D357" s="15" t="n"/>
      <c r="E357" s="15" t="n"/>
      <c r="F357" s="14" t="n"/>
      <c r="G357" s="15" t="n"/>
      <c r="H357" s="15" t="n"/>
      <c r="I357" s="16" t="n"/>
      <c r="J357" s="16" t="n"/>
      <c r="K357" s="12">
        <f>IF(A357="","",SUMIF(Sales!$C$2:$C$501,A357,Sales!$E$2:$E$501))</f>
        <v/>
      </c>
      <c r="L357" s="12">
        <f>IF(A357="","",H357-K357)</f>
        <v/>
      </c>
      <c r="M357" s="13">
        <f>IF(A357="","",ROUND(L357*I357,2))</f>
        <v/>
      </c>
      <c r="N357" s="13">
        <f>IF(A357="","",ROUND(L357*J357,2))</f>
        <v/>
      </c>
      <c r="O357" s="15" t="n"/>
      <c r="P357" s="12">
        <f>IF(A357="","",IF(COUNTIF($A$2:$A$501,A357)&gt;1,"Duplicate lot ID",IF(OR(B357="",H357="",I357="",J357=""),"Complete required fields",IF(L357&lt;0,"OVER SOLD","OK"))))</f>
        <v/>
      </c>
    </row>
    <row r="358" ht="23" customHeight="1">
      <c r="A358" s="9" t="n"/>
      <c r="B358" s="10" t="n"/>
      <c r="C358" s="10" t="n"/>
      <c r="D358" s="10" t="n"/>
      <c r="E358" s="10" t="n"/>
      <c r="F358" s="9" t="n"/>
      <c r="G358" s="10" t="n"/>
      <c r="H358" s="10" t="n"/>
      <c r="I358" s="11" t="n"/>
      <c r="J358" s="11" t="n"/>
      <c r="K358" s="12">
        <f>IF(A358="","",SUMIF(Sales!$C$2:$C$501,A358,Sales!$E$2:$E$501))</f>
        <v/>
      </c>
      <c r="L358" s="12">
        <f>IF(A358="","",H358-K358)</f>
        <v/>
      </c>
      <c r="M358" s="13">
        <f>IF(A358="","",ROUND(L358*I358,2))</f>
        <v/>
      </c>
      <c r="N358" s="13">
        <f>IF(A358="","",ROUND(L358*J358,2))</f>
        <v/>
      </c>
      <c r="O358" s="10" t="n"/>
      <c r="P358" s="12">
        <f>IF(A358="","",IF(COUNTIF($A$2:$A$501,A358)&gt;1,"Duplicate lot ID",IF(OR(B358="",H358="",I358="",J358=""),"Complete required fields",IF(L358&lt;0,"OVER SOLD","OK"))))</f>
        <v/>
      </c>
    </row>
    <row r="359" ht="23" customHeight="1">
      <c r="A359" s="14" t="n"/>
      <c r="B359" s="15" t="n"/>
      <c r="C359" s="15" t="n"/>
      <c r="D359" s="15" t="n"/>
      <c r="E359" s="15" t="n"/>
      <c r="F359" s="14" t="n"/>
      <c r="G359" s="15" t="n"/>
      <c r="H359" s="15" t="n"/>
      <c r="I359" s="16" t="n"/>
      <c r="J359" s="16" t="n"/>
      <c r="K359" s="12">
        <f>IF(A359="","",SUMIF(Sales!$C$2:$C$501,A359,Sales!$E$2:$E$501))</f>
        <v/>
      </c>
      <c r="L359" s="12">
        <f>IF(A359="","",H359-K359)</f>
        <v/>
      </c>
      <c r="M359" s="13">
        <f>IF(A359="","",ROUND(L359*I359,2))</f>
        <v/>
      </c>
      <c r="N359" s="13">
        <f>IF(A359="","",ROUND(L359*J359,2))</f>
        <v/>
      </c>
      <c r="O359" s="15" t="n"/>
      <c r="P359" s="12">
        <f>IF(A359="","",IF(COUNTIF($A$2:$A$501,A359)&gt;1,"Duplicate lot ID",IF(OR(B359="",H359="",I359="",J359=""),"Complete required fields",IF(L359&lt;0,"OVER SOLD","OK"))))</f>
        <v/>
      </c>
    </row>
    <row r="360" ht="23" customHeight="1">
      <c r="A360" s="9" t="n"/>
      <c r="B360" s="10" t="n"/>
      <c r="C360" s="10" t="n"/>
      <c r="D360" s="10" t="n"/>
      <c r="E360" s="10" t="n"/>
      <c r="F360" s="9" t="n"/>
      <c r="G360" s="10" t="n"/>
      <c r="H360" s="10" t="n"/>
      <c r="I360" s="11" t="n"/>
      <c r="J360" s="11" t="n"/>
      <c r="K360" s="12">
        <f>IF(A360="","",SUMIF(Sales!$C$2:$C$501,A360,Sales!$E$2:$E$501))</f>
        <v/>
      </c>
      <c r="L360" s="12">
        <f>IF(A360="","",H360-K360)</f>
        <v/>
      </c>
      <c r="M360" s="13">
        <f>IF(A360="","",ROUND(L360*I360,2))</f>
        <v/>
      </c>
      <c r="N360" s="13">
        <f>IF(A360="","",ROUND(L360*J360,2))</f>
        <v/>
      </c>
      <c r="O360" s="10" t="n"/>
      <c r="P360" s="12">
        <f>IF(A360="","",IF(COUNTIF($A$2:$A$501,A360)&gt;1,"Duplicate lot ID",IF(OR(B360="",H360="",I360="",J360=""),"Complete required fields",IF(L360&lt;0,"OVER SOLD","OK"))))</f>
        <v/>
      </c>
    </row>
    <row r="361" ht="23" customHeight="1">
      <c r="A361" s="14" t="n"/>
      <c r="B361" s="15" t="n"/>
      <c r="C361" s="15" t="n"/>
      <c r="D361" s="15" t="n"/>
      <c r="E361" s="15" t="n"/>
      <c r="F361" s="14" t="n"/>
      <c r="G361" s="15" t="n"/>
      <c r="H361" s="15" t="n"/>
      <c r="I361" s="16" t="n"/>
      <c r="J361" s="16" t="n"/>
      <c r="K361" s="12">
        <f>IF(A361="","",SUMIF(Sales!$C$2:$C$501,A361,Sales!$E$2:$E$501))</f>
        <v/>
      </c>
      <c r="L361" s="12">
        <f>IF(A361="","",H361-K361)</f>
        <v/>
      </c>
      <c r="M361" s="13">
        <f>IF(A361="","",ROUND(L361*I361,2))</f>
        <v/>
      </c>
      <c r="N361" s="13">
        <f>IF(A361="","",ROUND(L361*J361,2))</f>
        <v/>
      </c>
      <c r="O361" s="15" t="n"/>
      <c r="P361" s="12">
        <f>IF(A361="","",IF(COUNTIF($A$2:$A$501,A361)&gt;1,"Duplicate lot ID",IF(OR(B361="",H361="",I361="",J361=""),"Complete required fields",IF(L361&lt;0,"OVER SOLD","OK"))))</f>
        <v/>
      </c>
    </row>
    <row r="362" ht="23" customHeight="1">
      <c r="A362" s="9" t="n"/>
      <c r="B362" s="10" t="n"/>
      <c r="C362" s="10" t="n"/>
      <c r="D362" s="10" t="n"/>
      <c r="E362" s="10" t="n"/>
      <c r="F362" s="9" t="n"/>
      <c r="G362" s="10" t="n"/>
      <c r="H362" s="10" t="n"/>
      <c r="I362" s="11" t="n"/>
      <c r="J362" s="11" t="n"/>
      <c r="K362" s="12">
        <f>IF(A362="","",SUMIF(Sales!$C$2:$C$501,A362,Sales!$E$2:$E$501))</f>
        <v/>
      </c>
      <c r="L362" s="12">
        <f>IF(A362="","",H362-K362)</f>
        <v/>
      </c>
      <c r="M362" s="13">
        <f>IF(A362="","",ROUND(L362*I362,2))</f>
        <v/>
      </c>
      <c r="N362" s="13">
        <f>IF(A362="","",ROUND(L362*J362,2))</f>
        <v/>
      </c>
      <c r="O362" s="10" t="n"/>
      <c r="P362" s="12">
        <f>IF(A362="","",IF(COUNTIF($A$2:$A$501,A362)&gt;1,"Duplicate lot ID",IF(OR(B362="",H362="",I362="",J362=""),"Complete required fields",IF(L362&lt;0,"OVER SOLD","OK"))))</f>
        <v/>
      </c>
    </row>
    <row r="363" ht="23" customHeight="1">
      <c r="A363" s="14" t="n"/>
      <c r="B363" s="15" t="n"/>
      <c r="C363" s="15" t="n"/>
      <c r="D363" s="15" t="n"/>
      <c r="E363" s="15" t="n"/>
      <c r="F363" s="14" t="n"/>
      <c r="G363" s="15" t="n"/>
      <c r="H363" s="15" t="n"/>
      <c r="I363" s="16" t="n"/>
      <c r="J363" s="16" t="n"/>
      <c r="K363" s="12">
        <f>IF(A363="","",SUMIF(Sales!$C$2:$C$501,A363,Sales!$E$2:$E$501))</f>
        <v/>
      </c>
      <c r="L363" s="12">
        <f>IF(A363="","",H363-K363)</f>
        <v/>
      </c>
      <c r="M363" s="13">
        <f>IF(A363="","",ROUND(L363*I363,2))</f>
        <v/>
      </c>
      <c r="N363" s="13">
        <f>IF(A363="","",ROUND(L363*J363,2))</f>
        <v/>
      </c>
      <c r="O363" s="15" t="n"/>
      <c r="P363" s="12">
        <f>IF(A363="","",IF(COUNTIF($A$2:$A$501,A363)&gt;1,"Duplicate lot ID",IF(OR(B363="",H363="",I363="",J363=""),"Complete required fields",IF(L363&lt;0,"OVER SOLD","OK"))))</f>
        <v/>
      </c>
    </row>
    <row r="364" ht="23" customHeight="1">
      <c r="A364" s="9" t="n"/>
      <c r="B364" s="10" t="n"/>
      <c r="C364" s="10" t="n"/>
      <c r="D364" s="10" t="n"/>
      <c r="E364" s="10" t="n"/>
      <c r="F364" s="9" t="n"/>
      <c r="G364" s="10" t="n"/>
      <c r="H364" s="10" t="n"/>
      <c r="I364" s="11" t="n"/>
      <c r="J364" s="11" t="n"/>
      <c r="K364" s="12">
        <f>IF(A364="","",SUMIF(Sales!$C$2:$C$501,A364,Sales!$E$2:$E$501))</f>
        <v/>
      </c>
      <c r="L364" s="12">
        <f>IF(A364="","",H364-K364)</f>
        <v/>
      </c>
      <c r="M364" s="13">
        <f>IF(A364="","",ROUND(L364*I364,2))</f>
        <v/>
      </c>
      <c r="N364" s="13">
        <f>IF(A364="","",ROUND(L364*J364,2))</f>
        <v/>
      </c>
      <c r="O364" s="10" t="n"/>
      <c r="P364" s="12">
        <f>IF(A364="","",IF(COUNTIF($A$2:$A$501,A364)&gt;1,"Duplicate lot ID",IF(OR(B364="",H364="",I364="",J364=""),"Complete required fields",IF(L364&lt;0,"OVER SOLD","OK"))))</f>
        <v/>
      </c>
    </row>
    <row r="365" ht="23" customHeight="1">
      <c r="A365" s="14" t="n"/>
      <c r="B365" s="15" t="n"/>
      <c r="C365" s="15" t="n"/>
      <c r="D365" s="15" t="n"/>
      <c r="E365" s="15" t="n"/>
      <c r="F365" s="14" t="n"/>
      <c r="G365" s="15" t="n"/>
      <c r="H365" s="15" t="n"/>
      <c r="I365" s="16" t="n"/>
      <c r="J365" s="16" t="n"/>
      <c r="K365" s="12">
        <f>IF(A365="","",SUMIF(Sales!$C$2:$C$501,A365,Sales!$E$2:$E$501))</f>
        <v/>
      </c>
      <c r="L365" s="12">
        <f>IF(A365="","",H365-K365)</f>
        <v/>
      </c>
      <c r="M365" s="13">
        <f>IF(A365="","",ROUND(L365*I365,2))</f>
        <v/>
      </c>
      <c r="N365" s="13">
        <f>IF(A365="","",ROUND(L365*J365,2))</f>
        <v/>
      </c>
      <c r="O365" s="15" t="n"/>
      <c r="P365" s="12">
        <f>IF(A365="","",IF(COUNTIF($A$2:$A$501,A365)&gt;1,"Duplicate lot ID",IF(OR(B365="",H365="",I365="",J365=""),"Complete required fields",IF(L365&lt;0,"OVER SOLD","OK"))))</f>
        <v/>
      </c>
    </row>
    <row r="366" ht="23" customHeight="1">
      <c r="A366" s="9" t="n"/>
      <c r="B366" s="10" t="n"/>
      <c r="C366" s="10" t="n"/>
      <c r="D366" s="10" t="n"/>
      <c r="E366" s="10" t="n"/>
      <c r="F366" s="9" t="n"/>
      <c r="G366" s="10" t="n"/>
      <c r="H366" s="10" t="n"/>
      <c r="I366" s="11" t="n"/>
      <c r="J366" s="11" t="n"/>
      <c r="K366" s="12">
        <f>IF(A366="","",SUMIF(Sales!$C$2:$C$501,A366,Sales!$E$2:$E$501))</f>
        <v/>
      </c>
      <c r="L366" s="12">
        <f>IF(A366="","",H366-K366)</f>
        <v/>
      </c>
      <c r="M366" s="13">
        <f>IF(A366="","",ROUND(L366*I366,2))</f>
        <v/>
      </c>
      <c r="N366" s="13">
        <f>IF(A366="","",ROUND(L366*J366,2))</f>
        <v/>
      </c>
      <c r="O366" s="10" t="n"/>
      <c r="P366" s="12">
        <f>IF(A366="","",IF(COUNTIF($A$2:$A$501,A366)&gt;1,"Duplicate lot ID",IF(OR(B366="",H366="",I366="",J366=""),"Complete required fields",IF(L366&lt;0,"OVER SOLD","OK"))))</f>
        <v/>
      </c>
    </row>
    <row r="367" ht="23" customHeight="1">
      <c r="A367" s="14" t="n"/>
      <c r="B367" s="15" t="n"/>
      <c r="C367" s="15" t="n"/>
      <c r="D367" s="15" t="n"/>
      <c r="E367" s="15" t="n"/>
      <c r="F367" s="14" t="n"/>
      <c r="G367" s="15" t="n"/>
      <c r="H367" s="15" t="n"/>
      <c r="I367" s="16" t="n"/>
      <c r="J367" s="16" t="n"/>
      <c r="K367" s="12">
        <f>IF(A367="","",SUMIF(Sales!$C$2:$C$501,A367,Sales!$E$2:$E$501))</f>
        <v/>
      </c>
      <c r="L367" s="12">
        <f>IF(A367="","",H367-K367)</f>
        <v/>
      </c>
      <c r="M367" s="13">
        <f>IF(A367="","",ROUND(L367*I367,2))</f>
        <v/>
      </c>
      <c r="N367" s="13">
        <f>IF(A367="","",ROUND(L367*J367,2))</f>
        <v/>
      </c>
      <c r="O367" s="15" t="n"/>
      <c r="P367" s="12">
        <f>IF(A367="","",IF(COUNTIF($A$2:$A$501,A367)&gt;1,"Duplicate lot ID",IF(OR(B367="",H367="",I367="",J367=""),"Complete required fields",IF(L367&lt;0,"OVER SOLD","OK"))))</f>
        <v/>
      </c>
    </row>
    <row r="368" ht="23" customHeight="1">
      <c r="A368" s="9" t="n"/>
      <c r="B368" s="10" t="n"/>
      <c r="C368" s="10" t="n"/>
      <c r="D368" s="10" t="n"/>
      <c r="E368" s="10" t="n"/>
      <c r="F368" s="9" t="n"/>
      <c r="G368" s="10" t="n"/>
      <c r="H368" s="10" t="n"/>
      <c r="I368" s="11" t="n"/>
      <c r="J368" s="11" t="n"/>
      <c r="K368" s="12">
        <f>IF(A368="","",SUMIF(Sales!$C$2:$C$501,A368,Sales!$E$2:$E$501))</f>
        <v/>
      </c>
      <c r="L368" s="12">
        <f>IF(A368="","",H368-K368)</f>
        <v/>
      </c>
      <c r="M368" s="13">
        <f>IF(A368="","",ROUND(L368*I368,2))</f>
        <v/>
      </c>
      <c r="N368" s="13">
        <f>IF(A368="","",ROUND(L368*J368,2))</f>
        <v/>
      </c>
      <c r="O368" s="10" t="n"/>
      <c r="P368" s="12">
        <f>IF(A368="","",IF(COUNTIF($A$2:$A$501,A368)&gt;1,"Duplicate lot ID",IF(OR(B368="",H368="",I368="",J368=""),"Complete required fields",IF(L368&lt;0,"OVER SOLD","OK"))))</f>
        <v/>
      </c>
    </row>
    <row r="369" ht="23" customHeight="1">
      <c r="A369" s="14" t="n"/>
      <c r="B369" s="15" t="n"/>
      <c r="C369" s="15" t="n"/>
      <c r="D369" s="15" t="n"/>
      <c r="E369" s="15" t="n"/>
      <c r="F369" s="14" t="n"/>
      <c r="G369" s="15" t="n"/>
      <c r="H369" s="15" t="n"/>
      <c r="I369" s="16" t="n"/>
      <c r="J369" s="16" t="n"/>
      <c r="K369" s="12">
        <f>IF(A369="","",SUMIF(Sales!$C$2:$C$501,A369,Sales!$E$2:$E$501))</f>
        <v/>
      </c>
      <c r="L369" s="12">
        <f>IF(A369="","",H369-K369)</f>
        <v/>
      </c>
      <c r="M369" s="13">
        <f>IF(A369="","",ROUND(L369*I369,2))</f>
        <v/>
      </c>
      <c r="N369" s="13">
        <f>IF(A369="","",ROUND(L369*J369,2))</f>
        <v/>
      </c>
      <c r="O369" s="15" t="n"/>
      <c r="P369" s="12">
        <f>IF(A369="","",IF(COUNTIF($A$2:$A$501,A369)&gt;1,"Duplicate lot ID",IF(OR(B369="",H369="",I369="",J369=""),"Complete required fields",IF(L369&lt;0,"OVER SOLD","OK"))))</f>
        <v/>
      </c>
    </row>
    <row r="370" ht="23" customHeight="1">
      <c r="A370" s="9" t="n"/>
      <c r="B370" s="10" t="n"/>
      <c r="C370" s="10" t="n"/>
      <c r="D370" s="10" t="n"/>
      <c r="E370" s="10" t="n"/>
      <c r="F370" s="9" t="n"/>
      <c r="G370" s="10" t="n"/>
      <c r="H370" s="10" t="n"/>
      <c r="I370" s="11" t="n"/>
      <c r="J370" s="11" t="n"/>
      <c r="K370" s="12">
        <f>IF(A370="","",SUMIF(Sales!$C$2:$C$501,A370,Sales!$E$2:$E$501))</f>
        <v/>
      </c>
      <c r="L370" s="12">
        <f>IF(A370="","",H370-K370)</f>
        <v/>
      </c>
      <c r="M370" s="13">
        <f>IF(A370="","",ROUND(L370*I370,2))</f>
        <v/>
      </c>
      <c r="N370" s="13">
        <f>IF(A370="","",ROUND(L370*J370,2))</f>
        <v/>
      </c>
      <c r="O370" s="10" t="n"/>
      <c r="P370" s="12">
        <f>IF(A370="","",IF(COUNTIF($A$2:$A$501,A370)&gt;1,"Duplicate lot ID",IF(OR(B370="",H370="",I370="",J370=""),"Complete required fields",IF(L370&lt;0,"OVER SOLD","OK"))))</f>
        <v/>
      </c>
    </row>
    <row r="371" ht="23" customHeight="1">
      <c r="A371" s="14" t="n"/>
      <c r="B371" s="15" t="n"/>
      <c r="C371" s="15" t="n"/>
      <c r="D371" s="15" t="n"/>
      <c r="E371" s="15" t="n"/>
      <c r="F371" s="14" t="n"/>
      <c r="G371" s="15" t="n"/>
      <c r="H371" s="15" t="n"/>
      <c r="I371" s="16" t="n"/>
      <c r="J371" s="16" t="n"/>
      <c r="K371" s="12">
        <f>IF(A371="","",SUMIF(Sales!$C$2:$C$501,A371,Sales!$E$2:$E$501))</f>
        <v/>
      </c>
      <c r="L371" s="12">
        <f>IF(A371="","",H371-K371)</f>
        <v/>
      </c>
      <c r="M371" s="13">
        <f>IF(A371="","",ROUND(L371*I371,2))</f>
        <v/>
      </c>
      <c r="N371" s="13">
        <f>IF(A371="","",ROUND(L371*J371,2))</f>
        <v/>
      </c>
      <c r="O371" s="15" t="n"/>
      <c r="P371" s="12">
        <f>IF(A371="","",IF(COUNTIF($A$2:$A$501,A371)&gt;1,"Duplicate lot ID",IF(OR(B371="",H371="",I371="",J371=""),"Complete required fields",IF(L371&lt;0,"OVER SOLD","OK"))))</f>
        <v/>
      </c>
    </row>
    <row r="372" ht="23" customHeight="1">
      <c r="A372" s="9" t="n"/>
      <c r="B372" s="10" t="n"/>
      <c r="C372" s="10" t="n"/>
      <c r="D372" s="10" t="n"/>
      <c r="E372" s="10" t="n"/>
      <c r="F372" s="9" t="n"/>
      <c r="G372" s="10" t="n"/>
      <c r="H372" s="10" t="n"/>
      <c r="I372" s="11" t="n"/>
      <c r="J372" s="11" t="n"/>
      <c r="K372" s="12">
        <f>IF(A372="","",SUMIF(Sales!$C$2:$C$501,A372,Sales!$E$2:$E$501))</f>
        <v/>
      </c>
      <c r="L372" s="12">
        <f>IF(A372="","",H372-K372)</f>
        <v/>
      </c>
      <c r="M372" s="13">
        <f>IF(A372="","",ROUND(L372*I372,2))</f>
        <v/>
      </c>
      <c r="N372" s="13">
        <f>IF(A372="","",ROUND(L372*J372,2))</f>
        <v/>
      </c>
      <c r="O372" s="10" t="n"/>
      <c r="P372" s="12">
        <f>IF(A372="","",IF(COUNTIF($A$2:$A$501,A372)&gt;1,"Duplicate lot ID",IF(OR(B372="",H372="",I372="",J372=""),"Complete required fields",IF(L372&lt;0,"OVER SOLD","OK"))))</f>
        <v/>
      </c>
    </row>
    <row r="373" ht="23" customHeight="1">
      <c r="A373" s="14" t="n"/>
      <c r="B373" s="15" t="n"/>
      <c r="C373" s="15" t="n"/>
      <c r="D373" s="15" t="n"/>
      <c r="E373" s="15" t="n"/>
      <c r="F373" s="14" t="n"/>
      <c r="G373" s="15" t="n"/>
      <c r="H373" s="15" t="n"/>
      <c r="I373" s="16" t="n"/>
      <c r="J373" s="16" t="n"/>
      <c r="K373" s="12">
        <f>IF(A373="","",SUMIF(Sales!$C$2:$C$501,A373,Sales!$E$2:$E$501))</f>
        <v/>
      </c>
      <c r="L373" s="12">
        <f>IF(A373="","",H373-K373)</f>
        <v/>
      </c>
      <c r="M373" s="13">
        <f>IF(A373="","",ROUND(L373*I373,2))</f>
        <v/>
      </c>
      <c r="N373" s="13">
        <f>IF(A373="","",ROUND(L373*J373,2))</f>
        <v/>
      </c>
      <c r="O373" s="15" t="n"/>
      <c r="P373" s="12">
        <f>IF(A373="","",IF(COUNTIF($A$2:$A$501,A373)&gt;1,"Duplicate lot ID",IF(OR(B373="",H373="",I373="",J373=""),"Complete required fields",IF(L373&lt;0,"OVER SOLD","OK"))))</f>
        <v/>
      </c>
    </row>
    <row r="374" ht="23" customHeight="1">
      <c r="A374" s="9" t="n"/>
      <c r="B374" s="10" t="n"/>
      <c r="C374" s="10" t="n"/>
      <c r="D374" s="10" t="n"/>
      <c r="E374" s="10" t="n"/>
      <c r="F374" s="9" t="n"/>
      <c r="G374" s="10" t="n"/>
      <c r="H374" s="10" t="n"/>
      <c r="I374" s="11" t="n"/>
      <c r="J374" s="11" t="n"/>
      <c r="K374" s="12">
        <f>IF(A374="","",SUMIF(Sales!$C$2:$C$501,A374,Sales!$E$2:$E$501))</f>
        <v/>
      </c>
      <c r="L374" s="12">
        <f>IF(A374="","",H374-K374)</f>
        <v/>
      </c>
      <c r="M374" s="13">
        <f>IF(A374="","",ROUND(L374*I374,2))</f>
        <v/>
      </c>
      <c r="N374" s="13">
        <f>IF(A374="","",ROUND(L374*J374,2))</f>
        <v/>
      </c>
      <c r="O374" s="10" t="n"/>
      <c r="P374" s="12">
        <f>IF(A374="","",IF(COUNTIF($A$2:$A$501,A374)&gt;1,"Duplicate lot ID",IF(OR(B374="",H374="",I374="",J374=""),"Complete required fields",IF(L374&lt;0,"OVER SOLD","OK"))))</f>
        <v/>
      </c>
    </row>
    <row r="375" ht="23" customHeight="1">
      <c r="A375" s="14" t="n"/>
      <c r="B375" s="15" t="n"/>
      <c r="C375" s="15" t="n"/>
      <c r="D375" s="15" t="n"/>
      <c r="E375" s="15" t="n"/>
      <c r="F375" s="14" t="n"/>
      <c r="G375" s="15" t="n"/>
      <c r="H375" s="15" t="n"/>
      <c r="I375" s="16" t="n"/>
      <c r="J375" s="16" t="n"/>
      <c r="K375" s="12">
        <f>IF(A375="","",SUMIF(Sales!$C$2:$C$501,A375,Sales!$E$2:$E$501))</f>
        <v/>
      </c>
      <c r="L375" s="12">
        <f>IF(A375="","",H375-K375)</f>
        <v/>
      </c>
      <c r="M375" s="13">
        <f>IF(A375="","",ROUND(L375*I375,2))</f>
        <v/>
      </c>
      <c r="N375" s="13">
        <f>IF(A375="","",ROUND(L375*J375,2))</f>
        <v/>
      </c>
      <c r="O375" s="15" t="n"/>
      <c r="P375" s="12">
        <f>IF(A375="","",IF(COUNTIF($A$2:$A$501,A375)&gt;1,"Duplicate lot ID",IF(OR(B375="",H375="",I375="",J375=""),"Complete required fields",IF(L375&lt;0,"OVER SOLD","OK"))))</f>
        <v/>
      </c>
    </row>
    <row r="376" ht="23" customHeight="1">
      <c r="A376" s="9" t="n"/>
      <c r="B376" s="10" t="n"/>
      <c r="C376" s="10" t="n"/>
      <c r="D376" s="10" t="n"/>
      <c r="E376" s="10" t="n"/>
      <c r="F376" s="9" t="n"/>
      <c r="G376" s="10" t="n"/>
      <c r="H376" s="10" t="n"/>
      <c r="I376" s="11" t="n"/>
      <c r="J376" s="11" t="n"/>
      <c r="K376" s="12">
        <f>IF(A376="","",SUMIF(Sales!$C$2:$C$501,A376,Sales!$E$2:$E$501))</f>
        <v/>
      </c>
      <c r="L376" s="12">
        <f>IF(A376="","",H376-K376)</f>
        <v/>
      </c>
      <c r="M376" s="13">
        <f>IF(A376="","",ROUND(L376*I376,2))</f>
        <v/>
      </c>
      <c r="N376" s="13">
        <f>IF(A376="","",ROUND(L376*J376,2))</f>
        <v/>
      </c>
      <c r="O376" s="10" t="n"/>
      <c r="P376" s="12">
        <f>IF(A376="","",IF(COUNTIF($A$2:$A$501,A376)&gt;1,"Duplicate lot ID",IF(OR(B376="",H376="",I376="",J376=""),"Complete required fields",IF(L376&lt;0,"OVER SOLD","OK"))))</f>
        <v/>
      </c>
    </row>
    <row r="377" ht="23" customHeight="1">
      <c r="A377" s="14" t="n"/>
      <c r="B377" s="15" t="n"/>
      <c r="C377" s="15" t="n"/>
      <c r="D377" s="15" t="n"/>
      <c r="E377" s="15" t="n"/>
      <c r="F377" s="14" t="n"/>
      <c r="G377" s="15" t="n"/>
      <c r="H377" s="15" t="n"/>
      <c r="I377" s="16" t="n"/>
      <c r="J377" s="16" t="n"/>
      <c r="K377" s="12">
        <f>IF(A377="","",SUMIF(Sales!$C$2:$C$501,A377,Sales!$E$2:$E$501))</f>
        <v/>
      </c>
      <c r="L377" s="12">
        <f>IF(A377="","",H377-K377)</f>
        <v/>
      </c>
      <c r="M377" s="13">
        <f>IF(A377="","",ROUND(L377*I377,2))</f>
        <v/>
      </c>
      <c r="N377" s="13">
        <f>IF(A377="","",ROUND(L377*J377,2))</f>
        <v/>
      </c>
      <c r="O377" s="15" t="n"/>
      <c r="P377" s="12">
        <f>IF(A377="","",IF(COUNTIF($A$2:$A$501,A377)&gt;1,"Duplicate lot ID",IF(OR(B377="",H377="",I377="",J377=""),"Complete required fields",IF(L377&lt;0,"OVER SOLD","OK"))))</f>
        <v/>
      </c>
    </row>
    <row r="378" ht="23" customHeight="1">
      <c r="A378" s="9" t="n"/>
      <c r="B378" s="10" t="n"/>
      <c r="C378" s="10" t="n"/>
      <c r="D378" s="10" t="n"/>
      <c r="E378" s="10" t="n"/>
      <c r="F378" s="9" t="n"/>
      <c r="G378" s="10" t="n"/>
      <c r="H378" s="10" t="n"/>
      <c r="I378" s="11" t="n"/>
      <c r="J378" s="11" t="n"/>
      <c r="K378" s="12">
        <f>IF(A378="","",SUMIF(Sales!$C$2:$C$501,A378,Sales!$E$2:$E$501))</f>
        <v/>
      </c>
      <c r="L378" s="12">
        <f>IF(A378="","",H378-K378)</f>
        <v/>
      </c>
      <c r="M378" s="13">
        <f>IF(A378="","",ROUND(L378*I378,2))</f>
        <v/>
      </c>
      <c r="N378" s="13">
        <f>IF(A378="","",ROUND(L378*J378,2))</f>
        <v/>
      </c>
      <c r="O378" s="10" t="n"/>
      <c r="P378" s="12">
        <f>IF(A378="","",IF(COUNTIF($A$2:$A$501,A378)&gt;1,"Duplicate lot ID",IF(OR(B378="",H378="",I378="",J378=""),"Complete required fields",IF(L378&lt;0,"OVER SOLD","OK"))))</f>
        <v/>
      </c>
    </row>
    <row r="379" ht="23" customHeight="1">
      <c r="A379" s="14" t="n"/>
      <c r="B379" s="15" t="n"/>
      <c r="C379" s="15" t="n"/>
      <c r="D379" s="15" t="n"/>
      <c r="E379" s="15" t="n"/>
      <c r="F379" s="14" t="n"/>
      <c r="G379" s="15" t="n"/>
      <c r="H379" s="15" t="n"/>
      <c r="I379" s="16" t="n"/>
      <c r="J379" s="16" t="n"/>
      <c r="K379" s="12">
        <f>IF(A379="","",SUMIF(Sales!$C$2:$C$501,A379,Sales!$E$2:$E$501))</f>
        <v/>
      </c>
      <c r="L379" s="12">
        <f>IF(A379="","",H379-K379)</f>
        <v/>
      </c>
      <c r="M379" s="13">
        <f>IF(A379="","",ROUND(L379*I379,2))</f>
        <v/>
      </c>
      <c r="N379" s="13">
        <f>IF(A379="","",ROUND(L379*J379,2))</f>
        <v/>
      </c>
      <c r="O379" s="15" t="n"/>
      <c r="P379" s="12">
        <f>IF(A379="","",IF(COUNTIF($A$2:$A$501,A379)&gt;1,"Duplicate lot ID",IF(OR(B379="",H379="",I379="",J379=""),"Complete required fields",IF(L379&lt;0,"OVER SOLD","OK"))))</f>
        <v/>
      </c>
    </row>
    <row r="380" ht="23" customHeight="1">
      <c r="A380" s="9" t="n"/>
      <c r="B380" s="10" t="n"/>
      <c r="C380" s="10" t="n"/>
      <c r="D380" s="10" t="n"/>
      <c r="E380" s="10" t="n"/>
      <c r="F380" s="9" t="n"/>
      <c r="G380" s="10" t="n"/>
      <c r="H380" s="10" t="n"/>
      <c r="I380" s="11" t="n"/>
      <c r="J380" s="11" t="n"/>
      <c r="K380" s="12">
        <f>IF(A380="","",SUMIF(Sales!$C$2:$C$501,A380,Sales!$E$2:$E$501))</f>
        <v/>
      </c>
      <c r="L380" s="12">
        <f>IF(A380="","",H380-K380)</f>
        <v/>
      </c>
      <c r="M380" s="13">
        <f>IF(A380="","",ROUND(L380*I380,2))</f>
        <v/>
      </c>
      <c r="N380" s="13">
        <f>IF(A380="","",ROUND(L380*J380,2))</f>
        <v/>
      </c>
      <c r="O380" s="10" t="n"/>
      <c r="P380" s="12">
        <f>IF(A380="","",IF(COUNTIF($A$2:$A$501,A380)&gt;1,"Duplicate lot ID",IF(OR(B380="",H380="",I380="",J380=""),"Complete required fields",IF(L380&lt;0,"OVER SOLD","OK"))))</f>
        <v/>
      </c>
    </row>
    <row r="381" ht="23" customHeight="1">
      <c r="A381" s="14" t="n"/>
      <c r="B381" s="15" t="n"/>
      <c r="C381" s="15" t="n"/>
      <c r="D381" s="15" t="n"/>
      <c r="E381" s="15" t="n"/>
      <c r="F381" s="14" t="n"/>
      <c r="G381" s="15" t="n"/>
      <c r="H381" s="15" t="n"/>
      <c r="I381" s="16" t="n"/>
      <c r="J381" s="16" t="n"/>
      <c r="K381" s="12">
        <f>IF(A381="","",SUMIF(Sales!$C$2:$C$501,A381,Sales!$E$2:$E$501))</f>
        <v/>
      </c>
      <c r="L381" s="12">
        <f>IF(A381="","",H381-K381)</f>
        <v/>
      </c>
      <c r="M381" s="13">
        <f>IF(A381="","",ROUND(L381*I381,2))</f>
        <v/>
      </c>
      <c r="N381" s="13">
        <f>IF(A381="","",ROUND(L381*J381,2))</f>
        <v/>
      </c>
      <c r="O381" s="15" t="n"/>
      <c r="P381" s="12">
        <f>IF(A381="","",IF(COUNTIF($A$2:$A$501,A381)&gt;1,"Duplicate lot ID",IF(OR(B381="",H381="",I381="",J381=""),"Complete required fields",IF(L381&lt;0,"OVER SOLD","OK"))))</f>
        <v/>
      </c>
    </row>
    <row r="382" ht="23" customHeight="1">
      <c r="A382" s="9" t="n"/>
      <c r="B382" s="10" t="n"/>
      <c r="C382" s="10" t="n"/>
      <c r="D382" s="10" t="n"/>
      <c r="E382" s="10" t="n"/>
      <c r="F382" s="9" t="n"/>
      <c r="G382" s="10" t="n"/>
      <c r="H382" s="10" t="n"/>
      <c r="I382" s="11" t="n"/>
      <c r="J382" s="11" t="n"/>
      <c r="K382" s="12">
        <f>IF(A382="","",SUMIF(Sales!$C$2:$C$501,A382,Sales!$E$2:$E$501))</f>
        <v/>
      </c>
      <c r="L382" s="12">
        <f>IF(A382="","",H382-K382)</f>
        <v/>
      </c>
      <c r="M382" s="13">
        <f>IF(A382="","",ROUND(L382*I382,2))</f>
        <v/>
      </c>
      <c r="N382" s="13">
        <f>IF(A382="","",ROUND(L382*J382,2))</f>
        <v/>
      </c>
      <c r="O382" s="10" t="n"/>
      <c r="P382" s="12">
        <f>IF(A382="","",IF(COUNTIF($A$2:$A$501,A382)&gt;1,"Duplicate lot ID",IF(OR(B382="",H382="",I382="",J382=""),"Complete required fields",IF(L382&lt;0,"OVER SOLD","OK"))))</f>
        <v/>
      </c>
    </row>
    <row r="383" ht="23" customHeight="1">
      <c r="A383" s="14" t="n"/>
      <c r="B383" s="15" t="n"/>
      <c r="C383" s="15" t="n"/>
      <c r="D383" s="15" t="n"/>
      <c r="E383" s="15" t="n"/>
      <c r="F383" s="14" t="n"/>
      <c r="G383" s="15" t="n"/>
      <c r="H383" s="15" t="n"/>
      <c r="I383" s="16" t="n"/>
      <c r="J383" s="16" t="n"/>
      <c r="K383" s="12">
        <f>IF(A383="","",SUMIF(Sales!$C$2:$C$501,A383,Sales!$E$2:$E$501))</f>
        <v/>
      </c>
      <c r="L383" s="12">
        <f>IF(A383="","",H383-K383)</f>
        <v/>
      </c>
      <c r="M383" s="13">
        <f>IF(A383="","",ROUND(L383*I383,2))</f>
        <v/>
      </c>
      <c r="N383" s="13">
        <f>IF(A383="","",ROUND(L383*J383,2))</f>
        <v/>
      </c>
      <c r="O383" s="15" t="n"/>
      <c r="P383" s="12">
        <f>IF(A383="","",IF(COUNTIF($A$2:$A$501,A383)&gt;1,"Duplicate lot ID",IF(OR(B383="",H383="",I383="",J383=""),"Complete required fields",IF(L383&lt;0,"OVER SOLD","OK"))))</f>
        <v/>
      </c>
    </row>
    <row r="384" ht="23" customHeight="1">
      <c r="A384" s="9" t="n"/>
      <c r="B384" s="10" t="n"/>
      <c r="C384" s="10" t="n"/>
      <c r="D384" s="10" t="n"/>
      <c r="E384" s="10" t="n"/>
      <c r="F384" s="9" t="n"/>
      <c r="G384" s="10" t="n"/>
      <c r="H384" s="10" t="n"/>
      <c r="I384" s="11" t="n"/>
      <c r="J384" s="11" t="n"/>
      <c r="K384" s="12">
        <f>IF(A384="","",SUMIF(Sales!$C$2:$C$501,A384,Sales!$E$2:$E$501))</f>
        <v/>
      </c>
      <c r="L384" s="12">
        <f>IF(A384="","",H384-K384)</f>
        <v/>
      </c>
      <c r="M384" s="13">
        <f>IF(A384="","",ROUND(L384*I384,2))</f>
        <v/>
      </c>
      <c r="N384" s="13">
        <f>IF(A384="","",ROUND(L384*J384,2))</f>
        <v/>
      </c>
      <c r="O384" s="10" t="n"/>
      <c r="P384" s="12">
        <f>IF(A384="","",IF(COUNTIF($A$2:$A$501,A384)&gt;1,"Duplicate lot ID",IF(OR(B384="",H384="",I384="",J384=""),"Complete required fields",IF(L384&lt;0,"OVER SOLD","OK"))))</f>
        <v/>
      </c>
    </row>
    <row r="385" ht="23" customHeight="1">
      <c r="A385" s="14" t="n"/>
      <c r="B385" s="15" t="n"/>
      <c r="C385" s="15" t="n"/>
      <c r="D385" s="15" t="n"/>
      <c r="E385" s="15" t="n"/>
      <c r="F385" s="14" t="n"/>
      <c r="G385" s="15" t="n"/>
      <c r="H385" s="15" t="n"/>
      <c r="I385" s="16" t="n"/>
      <c r="J385" s="16" t="n"/>
      <c r="K385" s="12">
        <f>IF(A385="","",SUMIF(Sales!$C$2:$C$501,A385,Sales!$E$2:$E$501))</f>
        <v/>
      </c>
      <c r="L385" s="12">
        <f>IF(A385="","",H385-K385)</f>
        <v/>
      </c>
      <c r="M385" s="13">
        <f>IF(A385="","",ROUND(L385*I385,2))</f>
        <v/>
      </c>
      <c r="N385" s="13">
        <f>IF(A385="","",ROUND(L385*J385,2))</f>
        <v/>
      </c>
      <c r="O385" s="15" t="n"/>
      <c r="P385" s="12">
        <f>IF(A385="","",IF(COUNTIF($A$2:$A$501,A385)&gt;1,"Duplicate lot ID",IF(OR(B385="",H385="",I385="",J385=""),"Complete required fields",IF(L385&lt;0,"OVER SOLD","OK"))))</f>
        <v/>
      </c>
    </row>
    <row r="386" ht="23" customHeight="1">
      <c r="A386" s="9" t="n"/>
      <c r="B386" s="10" t="n"/>
      <c r="C386" s="10" t="n"/>
      <c r="D386" s="10" t="n"/>
      <c r="E386" s="10" t="n"/>
      <c r="F386" s="9" t="n"/>
      <c r="G386" s="10" t="n"/>
      <c r="H386" s="10" t="n"/>
      <c r="I386" s="11" t="n"/>
      <c r="J386" s="11" t="n"/>
      <c r="K386" s="12">
        <f>IF(A386="","",SUMIF(Sales!$C$2:$C$501,A386,Sales!$E$2:$E$501))</f>
        <v/>
      </c>
      <c r="L386" s="12">
        <f>IF(A386="","",H386-K386)</f>
        <v/>
      </c>
      <c r="M386" s="13">
        <f>IF(A386="","",ROUND(L386*I386,2))</f>
        <v/>
      </c>
      <c r="N386" s="13">
        <f>IF(A386="","",ROUND(L386*J386,2))</f>
        <v/>
      </c>
      <c r="O386" s="10" t="n"/>
      <c r="P386" s="12">
        <f>IF(A386="","",IF(COUNTIF($A$2:$A$501,A386)&gt;1,"Duplicate lot ID",IF(OR(B386="",H386="",I386="",J386=""),"Complete required fields",IF(L386&lt;0,"OVER SOLD","OK"))))</f>
        <v/>
      </c>
    </row>
    <row r="387" ht="23" customHeight="1">
      <c r="A387" s="14" t="n"/>
      <c r="B387" s="15" t="n"/>
      <c r="C387" s="15" t="n"/>
      <c r="D387" s="15" t="n"/>
      <c r="E387" s="15" t="n"/>
      <c r="F387" s="14" t="n"/>
      <c r="G387" s="15" t="n"/>
      <c r="H387" s="15" t="n"/>
      <c r="I387" s="16" t="n"/>
      <c r="J387" s="16" t="n"/>
      <c r="K387" s="12">
        <f>IF(A387="","",SUMIF(Sales!$C$2:$C$501,A387,Sales!$E$2:$E$501))</f>
        <v/>
      </c>
      <c r="L387" s="12">
        <f>IF(A387="","",H387-K387)</f>
        <v/>
      </c>
      <c r="M387" s="13">
        <f>IF(A387="","",ROUND(L387*I387,2))</f>
        <v/>
      </c>
      <c r="N387" s="13">
        <f>IF(A387="","",ROUND(L387*J387,2))</f>
        <v/>
      </c>
      <c r="O387" s="15" t="n"/>
      <c r="P387" s="12">
        <f>IF(A387="","",IF(COUNTIF($A$2:$A$501,A387)&gt;1,"Duplicate lot ID",IF(OR(B387="",H387="",I387="",J387=""),"Complete required fields",IF(L387&lt;0,"OVER SOLD","OK"))))</f>
        <v/>
      </c>
    </row>
    <row r="388" ht="23" customHeight="1">
      <c r="A388" s="9" t="n"/>
      <c r="B388" s="10" t="n"/>
      <c r="C388" s="10" t="n"/>
      <c r="D388" s="10" t="n"/>
      <c r="E388" s="10" t="n"/>
      <c r="F388" s="9" t="n"/>
      <c r="G388" s="10" t="n"/>
      <c r="H388" s="10" t="n"/>
      <c r="I388" s="11" t="n"/>
      <c r="J388" s="11" t="n"/>
      <c r="K388" s="12">
        <f>IF(A388="","",SUMIF(Sales!$C$2:$C$501,A388,Sales!$E$2:$E$501))</f>
        <v/>
      </c>
      <c r="L388" s="12">
        <f>IF(A388="","",H388-K388)</f>
        <v/>
      </c>
      <c r="M388" s="13">
        <f>IF(A388="","",ROUND(L388*I388,2))</f>
        <v/>
      </c>
      <c r="N388" s="13">
        <f>IF(A388="","",ROUND(L388*J388,2))</f>
        <v/>
      </c>
      <c r="O388" s="10" t="n"/>
      <c r="P388" s="12">
        <f>IF(A388="","",IF(COUNTIF($A$2:$A$501,A388)&gt;1,"Duplicate lot ID",IF(OR(B388="",H388="",I388="",J388=""),"Complete required fields",IF(L388&lt;0,"OVER SOLD","OK"))))</f>
        <v/>
      </c>
    </row>
    <row r="389" ht="23" customHeight="1">
      <c r="A389" s="14" t="n"/>
      <c r="B389" s="15" t="n"/>
      <c r="C389" s="15" t="n"/>
      <c r="D389" s="15" t="n"/>
      <c r="E389" s="15" t="n"/>
      <c r="F389" s="14" t="n"/>
      <c r="G389" s="15" t="n"/>
      <c r="H389" s="15" t="n"/>
      <c r="I389" s="16" t="n"/>
      <c r="J389" s="16" t="n"/>
      <c r="K389" s="12">
        <f>IF(A389="","",SUMIF(Sales!$C$2:$C$501,A389,Sales!$E$2:$E$501))</f>
        <v/>
      </c>
      <c r="L389" s="12">
        <f>IF(A389="","",H389-K389)</f>
        <v/>
      </c>
      <c r="M389" s="13">
        <f>IF(A389="","",ROUND(L389*I389,2))</f>
        <v/>
      </c>
      <c r="N389" s="13">
        <f>IF(A389="","",ROUND(L389*J389,2))</f>
        <v/>
      </c>
      <c r="O389" s="15" t="n"/>
      <c r="P389" s="12">
        <f>IF(A389="","",IF(COUNTIF($A$2:$A$501,A389)&gt;1,"Duplicate lot ID",IF(OR(B389="",H389="",I389="",J389=""),"Complete required fields",IF(L389&lt;0,"OVER SOLD","OK"))))</f>
        <v/>
      </c>
    </row>
    <row r="390" ht="23" customHeight="1">
      <c r="A390" s="9" t="n"/>
      <c r="B390" s="10" t="n"/>
      <c r="C390" s="10" t="n"/>
      <c r="D390" s="10" t="n"/>
      <c r="E390" s="10" t="n"/>
      <c r="F390" s="9" t="n"/>
      <c r="G390" s="10" t="n"/>
      <c r="H390" s="10" t="n"/>
      <c r="I390" s="11" t="n"/>
      <c r="J390" s="11" t="n"/>
      <c r="K390" s="12">
        <f>IF(A390="","",SUMIF(Sales!$C$2:$C$501,A390,Sales!$E$2:$E$501))</f>
        <v/>
      </c>
      <c r="L390" s="12">
        <f>IF(A390="","",H390-K390)</f>
        <v/>
      </c>
      <c r="M390" s="13">
        <f>IF(A390="","",ROUND(L390*I390,2))</f>
        <v/>
      </c>
      <c r="N390" s="13">
        <f>IF(A390="","",ROUND(L390*J390,2))</f>
        <v/>
      </c>
      <c r="O390" s="10" t="n"/>
      <c r="P390" s="12">
        <f>IF(A390="","",IF(COUNTIF($A$2:$A$501,A390)&gt;1,"Duplicate lot ID",IF(OR(B390="",H390="",I390="",J390=""),"Complete required fields",IF(L390&lt;0,"OVER SOLD","OK"))))</f>
        <v/>
      </c>
    </row>
    <row r="391" ht="23" customHeight="1">
      <c r="A391" s="14" t="n"/>
      <c r="B391" s="15" t="n"/>
      <c r="C391" s="15" t="n"/>
      <c r="D391" s="15" t="n"/>
      <c r="E391" s="15" t="n"/>
      <c r="F391" s="14" t="n"/>
      <c r="G391" s="15" t="n"/>
      <c r="H391" s="15" t="n"/>
      <c r="I391" s="16" t="n"/>
      <c r="J391" s="16" t="n"/>
      <c r="K391" s="12">
        <f>IF(A391="","",SUMIF(Sales!$C$2:$C$501,A391,Sales!$E$2:$E$501))</f>
        <v/>
      </c>
      <c r="L391" s="12">
        <f>IF(A391="","",H391-K391)</f>
        <v/>
      </c>
      <c r="M391" s="13">
        <f>IF(A391="","",ROUND(L391*I391,2))</f>
        <v/>
      </c>
      <c r="N391" s="13">
        <f>IF(A391="","",ROUND(L391*J391,2))</f>
        <v/>
      </c>
      <c r="O391" s="15" t="n"/>
      <c r="P391" s="12">
        <f>IF(A391="","",IF(COUNTIF($A$2:$A$501,A391)&gt;1,"Duplicate lot ID",IF(OR(B391="",H391="",I391="",J391=""),"Complete required fields",IF(L391&lt;0,"OVER SOLD","OK"))))</f>
        <v/>
      </c>
    </row>
    <row r="392" ht="23" customHeight="1">
      <c r="A392" s="9" t="n"/>
      <c r="B392" s="10" t="n"/>
      <c r="C392" s="10" t="n"/>
      <c r="D392" s="10" t="n"/>
      <c r="E392" s="10" t="n"/>
      <c r="F392" s="9" t="n"/>
      <c r="G392" s="10" t="n"/>
      <c r="H392" s="10" t="n"/>
      <c r="I392" s="11" t="n"/>
      <c r="J392" s="11" t="n"/>
      <c r="K392" s="12">
        <f>IF(A392="","",SUMIF(Sales!$C$2:$C$501,A392,Sales!$E$2:$E$501))</f>
        <v/>
      </c>
      <c r="L392" s="12">
        <f>IF(A392="","",H392-K392)</f>
        <v/>
      </c>
      <c r="M392" s="13">
        <f>IF(A392="","",ROUND(L392*I392,2))</f>
        <v/>
      </c>
      <c r="N392" s="13">
        <f>IF(A392="","",ROUND(L392*J392,2))</f>
        <v/>
      </c>
      <c r="O392" s="10" t="n"/>
      <c r="P392" s="12">
        <f>IF(A392="","",IF(COUNTIF($A$2:$A$501,A392)&gt;1,"Duplicate lot ID",IF(OR(B392="",H392="",I392="",J392=""),"Complete required fields",IF(L392&lt;0,"OVER SOLD","OK"))))</f>
        <v/>
      </c>
    </row>
    <row r="393" ht="23" customHeight="1">
      <c r="A393" s="14" t="n"/>
      <c r="B393" s="15" t="n"/>
      <c r="C393" s="15" t="n"/>
      <c r="D393" s="15" t="n"/>
      <c r="E393" s="15" t="n"/>
      <c r="F393" s="14" t="n"/>
      <c r="G393" s="15" t="n"/>
      <c r="H393" s="15" t="n"/>
      <c r="I393" s="16" t="n"/>
      <c r="J393" s="16" t="n"/>
      <c r="K393" s="12">
        <f>IF(A393="","",SUMIF(Sales!$C$2:$C$501,A393,Sales!$E$2:$E$501))</f>
        <v/>
      </c>
      <c r="L393" s="12">
        <f>IF(A393="","",H393-K393)</f>
        <v/>
      </c>
      <c r="M393" s="13">
        <f>IF(A393="","",ROUND(L393*I393,2))</f>
        <v/>
      </c>
      <c r="N393" s="13">
        <f>IF(A393="","",ROUND(L393*J393,2))</f>
        <v/>
      </c>
      <c r="O393" s="15" t="n"/>
      <c r="P393" s="12">
        <f>IF(A393="","",IF(COUNTIF($A$2:$A$501,A393)&gt;1,"Duplicate lot ID",IF(OR(B393="",H393="",I393="",J393=""),"Complete required fields",IF(L393&lt;0,"OVER SOLD","OK"))))</f>
        <v/>
      </c>
    </row>
    <row r="394" ht="23" customHeight="1">
      <c r="A394" s="9" t="n"/>
      <c r="B394" s="10" t="n"/>
      <c r="C394" s="10" t="n"/>
      <c r="D394" s="10" t="n"/>
      <c r="E394" s="10" t="n"/>
      <c r="F394" s="9" t="n"/>
      <c r="G394" s="10" t="n"/>
      <c r="H394" s="10" t="n"/>
      <c r="I394" s="11" t="n"/>
      <c r="J394" s="11" t="n"/>
      <c r="K394" s="12">
        <f>IF(A394="","",SUMIF(Sales!$C$2:$C$501,A394,Sales!$E$2:$E$501))</f>
        <v/>
      </c>
      <c r="L394" s="12">
        <f>IF(A394="","",H394-K394)</f>
        <v/>
      </c>
      <c r="M394" s="13">
        <f>IF(A394="","",ROUND(L394*I394,2))</f>
        <v/>
      </c>
      <c r="N394" s="13">
        <f>IF(A394="","",ROUND(L394*J394,2))</f>
        <v/>
      </c>
      <c r="O394" s="10" t="n"/>
      <c r="P394" s="12">
        <f>IF(A394="","",IF(COUNTIF($A$2:$A$501,A394)&gt;1,"Duplicate lot ID",IF(OR(B394="",H394="",I394="",J394=""),"Complete required fields",IF(L394&lt;0,"OVER SOLD","OK"))))</f>
        <v/>
      </c>
    </row>
    <row r="395" ht="23" customHeight="1">
      <c r="A395" s="14" t="n"/>
      <c r="B395" s="15" t="n"/>
      <c r="C395" s="15" t="n"/>
      <c r="D395" s="15" t="n"/>
      <c r="E395" s="15" t="n"/>
      <c r="F395" s="14" t="n"/>
      <c r="G395" s="15" t="n"/>
      <c r="H395" s="15" t="n"/>
      <c r="I395" s="16" t="n"/>
      <c r="J395" s="16" t="n"/>
      <c r="K395" s="12">
        <f>IF(A395="","",SUMIF(Sales!$C$2:$C$501,A395,Sales!$E$2:$E$501))</f>
        <v/>
      </c>
      <c r="L395" s="12">
        <f>IF(A395="","",H395-K395)</f>
        <v/>
      </c>
      <c r="M395" s="13">
        <f>IF(A395="","",ROUND(L395*I395,2))</f>
        <v/>
      </c>
      <c r="N395" s="13">
        <f>IF(A395="","",ROUND(L395*J395,2))</f>
        <v/>
      </c>
      <c r="O395" s="15" t="n"/>
      <c r="P395" s="12">
        <f>IF(A395="","",IF(COUNTIF($A$2:$A$501,A395)&gt;1,"Duplicate lot ID",IF(OR(B395="",H395="",I395="",J395=""),"Complete required fields",IF(L395&lt;0,"OVER SOLD","OK"))))</f>
        <v/>
      </c>
    </row>
    <row r="396" ht="23" customHeight="1">
      <c r="A396" s="9" t="n"/>
      <c r="B396" s="10" t="n"/>
      <c r="C396" s="10" t="n"/>
      <c r="D396" s="10" t="n"/>
      <c r="E396" s="10" t="n"/>
      <c r="F396" s="9" t="n"/>
      <c r="G396" s="10" t="n"/>
      <c r="H396" s="10" t="n"/>
      <c r="I396" s="11" t="n"/>
      <c r="J396" s="11" t="n"/>
      <c r="K396" s="12">
        <f>IF(A396="","",SUMIF(Sales!$C$2:$C$501,A396,Sales!$E$2:$E$501))</f>
        <v/>
      </c>
      <c r="L396" s="12">
        <f>IF(A396="","",H396-K396)</f>
        <v/>
      </c>
      <c r="M396" s="13">
        <f>IF(A396="","",ROUND(L396*I396,2))</f>
        <v/>
      </c>
      <c r="N396" s="13">
        <f>IF(A396="","",ROUND(L396*J396,2))</f>
        <v/>
      </c>
      <c r="O396" s="10" t="n"/>
      <c r="P396" s="12">
        <f>IF(A396="","",IF(COUNTIF($A$2:$A$501,A396)&gt;1,"Duplicate lot ID",IF(OR(B396="",H396="",I396="",J396=""),"Complete required fields",IF(L396&lt;0,"OVER SOLD","OK"))))</f>
        <v/>
      </c>
    </row>
    <row r="397" ht="23" customHeight="1">
      <c r="A397" s="14" t="n"/>
      <c r="B397" s="15" t="n"/>
      <c r="C397" s="15" t="n"/>
      <c r="D397" s="15" t="n"/>
      <c r="E397" s="15" t="n"/>
      <c r="F397" s="14" t="n"/>
      <c r="G397" s="15" t="n"/>
      <c r="H397" s="15" t="n"/>
      <c r="I397" s="16" t="n"/>
      <c r="J397" s="16" t="n"/>
      <c r="K397" s="12">
        <f>IF(A397="","",SUMIF(Sales!$C$2:$C$501,A397,Sales!$E$2:$E$501))</f>
        <v/>
      </c>
      <c r="L397" s="12">
        <f>IF(A397="","",H397-K397)</f>
        <v/>
      </c>
      <c r="M397" s="13">
        <f>IF(A397="","",ROUND(L397*I397,2))</f>
        <v/>
      </c>
      <c r="N397" s="13">
        <f>IF(A397="","",ROUND(L397*J397,2))</f>
        <v/>
      </c>
      <c r="O397" s="15" t="n"/>
      <c r="P397" s="12">
        <f>IF(A397="","",IF(COUNTIF($A$2:$A$501,A397)&gt;1,"Duplicate lot ID",IF(OR(B397="",H397="",I397="",J397=""),"Complete required fields",IF(L397&lt;0,"OVER SOLD","OK"))))</f>
        <v/>
      </c>
    </row>
    <row r="398" ht="23" customHeight="1">
      <c r="A398" s="9" t="n"/>
      <c r="B398" s="10" t="n"/>
      <c r="C398" s="10" t="n"/>
      <c r="D398" s="10" t="n"/>
      <c r="E398" s="10" t="n"/>
      <c r="F398" s="9" t="n"/>
      <c r="G398" s="10" t="n"/>
      <c r="H398" s="10" t="n"/>
      <c r="I398" s="11" t="n"/>
      <c r="J398" s="11" t="n"/>
      <c r="K398" s="12">
        <f>IF(A398="","",SUMIF(Sales!$C$2:$C$501,A398,Sales!$E$2:$E$501))</f>
        <v/>
      </c>
      <c r="L398" s="12">
        <f>IF(A398="","",H398-K398)</f>
        <v/>
      </c>
      <c r="M398" s="13">
        <f>IF(A398="","",ROUND(L398*I398,2))</f>
        <v/>
      </c>
      <c r="N398" s="13">
        <f>IF(A398="","",ROUND(L398*J398,2))</f>
        <v/>
      </c>
      <c r="O398" s="10" t="n"/>
      <c r="P398" s="12">
        <f>IF(A398="","",IF(COUNTIF($A$2:$A$501,A398)&gt;1,"Duplicate lot ID",IF(OR(B398="",H398="",I398="",J398=""),"Complete required fields",IF(L398&lt;0,"OVER SOLD","OK"))))</f>
        <v/>
      </c>
    </row>
    <row r="399" ht="23" customHeight="1">
      <c r="A399" s="14" t="n"/>
      <c r="B399" s="15" t="n"/>
      <c r="C399" s="15" t="n"/>
      <c r="D399" s="15" t="n"/>
      <c r="E399" s="15" t="n"/>
      <c r="F399" s="14" t="n"/>
      <c r="G399" s="15" t="n"/>
      <c r="H399" s="15" t="n"/>
      <c r="I399" s="16" t="n"/>
      <c r="J399" s="16" t="n"/>
      <c r="K399" s="12">
        <f>IF(A399="","",SUMIF(Sales!$C$2:$C$501,A399,Sales!$E$2:$E$501))</f>
        <v/>
      </c>
      <c r="L399" s="12">
        <f>IF(A399="","",H399-K399)</f>
        <v/>
      </c>
      <c r="M399" s="13">
        <f>IF(A399="","",ROUND(L399*I399,2))</f>
        <v/>
      </c>
      <c r="N399" s="13">
        <f>IF(A399="","",ROUND(L399*J399,2))</f>
        <v/>
      </c>
      <c r="O399" s="15" t="n"/>
      <c r="P399" s="12">
        <f>IF(A399="","",IF(COUNTIF($A$2:$A$501,A399)&gt;1,"Duplicate lot ID",IF(OR(B399="",H399="",I399="",J399=""),"Complete required fields",IF(L399&lt;0,"OVER SOLD","OK"))))</f>
        <v/>
      </c>
    </row>
    <row r="400" ht="23" customHeight="1">
      <c r="A400" s="9" t="n"/>
      <c r="B400" s="10" t="n"/>
      <c r="C400" s="10" t="n"/>
      <c r="D400" s="10" t="n"/>
      <c r="E400" s="10" t="n"/>
      <c r="F400" s="9" t="n"/>
      <c r="G400" s="10" t="n"/>
      <c r="H400" s="10" t="n"/>
      <c r="I400" s="11" t="n"/>
      <c r="J400" s="11" t="n"/>
      <c r="K400" s="12">
        <f>IF(A400="","",SUMIF(Sales!$C$2:$C$501,A400,Sales!$E$2:$E$501))</f>
        <v/>
      </c>
      <c r="L400" s="12">
        <f>IF(A400="","",H400-K400)</f>
        <v/>
      </c>
      <c r="M400" s="13">
        <f>IF(A400="","",ROUND(L400*I400,2))</f>
        <v/>
      </c>
      <c r="N400" s="13">
        <f>IF(A400="","",ROUND(L400*J400,2))</f>
        <v/>
      </c>
      <c r="O400" s="10" t="n"/>
      <c r="P400" s="12">
        <f>IF(A400="","",IF(COUNTIF($A$2:$A$501,A400)&gt;1,"Duplicate lot ID",IF(OR(B400="",H400="",I400="",J400=""),"Complete required fields",IF(L400&lt;0,"OVER SOLD","OK"))))</f>
        <v/>
      </c>
    </row>
    <row r="401" ht="23" customHeight="1">
      <c r="A401" s="14" t="n"/>
      <c r="B401" s="15" t="n"/>
      <c r="C401" s="15" t="n"/>
      <c r="D401" s="15" t="n"/>
      <c r="E401" s="15" t="n"/>
      <c r="F401" s="14" t="n"/>
      <c r="G401" s="15" t="n"/>
      <c r="H401" s="15" t="n"/>
      <c r="I401" s="16" t="n"/>
      <c r="J401" s="16" t="n"/>
      <c r="K401" s="12">
        <f>IF(A401="","",SUMIF(Sales!$C$2:$C$501,A401,Sales!$E$2:$E$501))</f>
        <v/>
      </c>
      <c r="L401" s="12">
        <f>IF(A401="","",H401-K401)</f>
        <v/>
      </c>
      <c r="M401" s="13">
        <f>IF(A401="","",ROUND(L401*I401,2))</f>
        <v/>
      </c>
      <c r="N401" s="13">
        <f>IF(A401="","",ROUND(L401*J401,2))</f>
        <v/>
      </c>
      <c r="O401" s="15" t="n"/>
      <c r="P401" s="12">
        <f>IF(A401="","",IF(COUNTIF($A$2:$A$501,A401)&gt;1,"Duplicate lot ID",IF(OR(B401="",H401="",I401="",J401=""),"Complete required fields",IF(L401&lt;0,"OVER SOLD","OK"))))</f>
        <v/>
      </c>
    </row>
    <row r="402" ht="23" customHeight="1">
      <c r="A402" s="9" t="n"/>
      <c r="B402" s="10" t="n"/>
      <c r="C402" s="10" t="n"/>
      <c r="D402" s="10" t="n"/>
      <c r="E402" s="10" t="n"/>
      <c r="F402" s="9" t="n"/>
      <c r="G402" s="10" t="n"/>
      <c r="H402" s="10" t="n"/>
      <c r="I402" s="11" t="n"/>
      <c r="J402" s="11" t="n"/>
      <c r="K402" s="12">
        <f>IF(A402="","",SUMIF(Sales!$C$2:$C$501,A402,Sales!$E$2:$E$501))</f>
        <v/>
      </c>
      <c r="L402" s="12">
        <f>IF(A402="","",H402-K402)</f>
        <v/>
      </c>
      <c r="M402" s="13">
        <f>IF(A402="","",ROUND(L402*I402,2))</f>
        <v/>
      </c>
      <c r="N402" s="13">
        <f>IF(A402="","",ROUND(L402*J402,2))</f>
        <v/>
      </c>
      <c r="O402" s="10" t="n"/>
      <c r="P402" s="12">
        <f>IF(A402="","",IF(COUNTIF($A$2:$A$501,A402)&gt;1,"Duplicate lot ID",IF(OR(B402="",H402="",I402="",J402=""),"Complete required fields",IF(L402&lt;0,"OVER SOLD","OK"))))</f>
        <v/>
      </c>
    </row>
    <row r="403" ht="23" customHeight="1">
      <c r="A403" s="14" t="n"/>
      <c r="B403" s="15" t="n"/>
      <c r="C403" s="15" t="n"/>
      <c r="D403" s="15" t="n"/>
      <c r="E403" s="15" t="n"/>
      <c r="F403" s="14" t="n"/>
      <c r="G403" s="15" t="n"/>
      <c r="H403" s="15" t="n"/>
      <c r="I403" s="16" t="n"/>
      <c r="J403" s="16" t="n"/>
      <c r="K403" s="12">
        <f>IF(A403="","",SUMIF(Sales!$C$2:$C$501,A403,Sales!$E$2:$E$501))</f>
        <v/>
      </c>
      <c r="L403" s="12">
        <f>IF(A403="","",H403-K403)</f>
        <v/>
      </c>
      <c r="M403" s="13">
        <f>IF(A403="","",ROUND(L403*I403,2))</f>
        <v/>
      </c>
      <c r="N403" s="13">
        <f>IF(A403="","",ROUND(L403*J403,2))</f>
        <v/>
      </c>
      <c r="O403" s="15" t="n"/>
      <c r="P403" s="12">
        <f>IF(A403="","",IF(COUNTIF($A$2:$A$501,A403)&gt;1,"Duplicate lot ID",IF(OR(B403="",H403="",I403="",J403=""),"Complete required fields",IF(L403&lt;0,"OVER SOLD","OK"))))</f>
        <v/>
      </c>
    </row>
    <row r="404" ht="23" customHeight="1">
      <c r="A404" s="9" t="n"/>
      <c r="B404" s="10" t="n"/>
      <c r="C404" s="10" t="n"/>
      <c r="D404" s="10" t="n"/>
      <c r="E404" s="10" t="n"/>
      <c r="F404" s="9" t="n"/>
      <c r="G404" s="10" t="n"/>
      <c r="H404" s="10" t="n"/>
      <c r="I404" s="11" t="n"/>
      <c r="J404" s="11" t="n"/>
      <c r="K404" s="12">
        <f>IF(A404="","",SUMIF(Sales!$C$2:$C$501,A404,Sales!$E$2:$E$501))</f>
        <v/>
      </c>
      <c r="L404" s="12">
        <f>IF(A404="","",H404-K404)</f>
        <v/>
      </c>
      <c r="M404" s="13">
        <f>IF(A404="","",ROUND(L404*I404,2))</f>
        <v/>
      </c>
      <c r="N404" s="13">
        <f>IF(A404="","",ROUND(L404*J404,2))</f>
        <v/>
      </c>
      <c r="O404" s="10" t="n"/>
      <c r="P404" s="12">
        <f>IF(A404="","",IF(COUNTIF($A$2:$A$501,A404)&gt;1,"Duplicate lot ID",IF(OR(B404="",H404="",I404="",J404=""),"Complete required fields",IF(L404&lt;0,"OVER SOLD","OK"))))</f>
        <v/>
      </c>
    </row>
    <row r="405" ht="23" customHeight="1">
      <c r="A405" s="14" t="n"/>
      <c r="B405" s="15" t="n"/>
      <c r="C405" s="15" t="n"/>
      <c r="D405" s="15" t="n"/>
      <c r="E405" s="15" t="n"/>
      <c r="F405" s="14" t="n"/>
      <c r="G405" s="15" t="n"/>
      <c r="H405" s="15" t="n"/>
      <c r="I405" s="16" t="n"/>
      <c r="J405" s="16" t="n"/>
      <c r="K405" s="12">
        <f>IF(A405="","",SUMIF(Sales!$C$2:$C$501,A405,Sales!$E$2:$E$501))</f>
        <v/>
      </c>
      <c r="L405" s="12">
        <f>IF(A405="","",H405-K405)</f>
        <v/>
      </c>
      <c r="M405" s="13">
        <f>IF(A405="","",ROUND(L405*I405,2))</f>
        <v/>
      </c>
      <c r="N405" s="13">
        <f>IF(A405="","",ROUND(L405*J405,2))</f>
        <v/>
      </c>
      <c r="O405" s="15" t="n"/>
      <c r="P405" s="12">
        <f>IF(A405="","",IF(COUNTIF($A$2:$A$501,A405)&gt;1,"Duplicate lot ID",IF(OR(B405="",H405="",I405="",J405=""),"Complete required fields",IF(L405&lt;0,"OVER SOLD","OK"))))</f>
        <v/>
      </c>
    </row>
    <row r="406" ht="23" customHeight="1">
      <c r="A406" s="9" t="n"/>
      <c r="B406" s="10" t="n"/>
      <c r="C406" s="10" t="n"/>
      <c r="D406" s="10" t="n"/>
      <c r="E406" s="10" t="n"/>
      <c r="F406" s="9" t="n"/>
      <c r="G406" s="10" t="n"/>
      <c r="H406" s="10" t="n"/>
      <c r="I406" s="11" t="n"/>
      <c r="J406" s="11" t="n"/>
      <c r="K406" s="12">
        <f>IF(A406="","",SUMIF(Sales!$C$2:$C$501,A406,Sales!$E$2:$E$501))</f>
        <v/>
      </c>
      <c r="L406" s="12">
        <f>IF(A406="","",H406-K406)</f>
        <v/>
      </c>
      <c r="M406" s="13">
        <f>IF(A406="","",ROUND(L406*I406,2))</f>
        <v/>
      </c>
      <c r="N406" s="13">
        <f>IF(A406="","",ROUND(L406*J406,2))</f>
        <v/>
      </c>
      <c r="O406" s="10" t="n"/>
      <c r="P406" s="12">
        <f>IF(A406="","",IF(COUNTIF($A$2:$A$501,A406)&gt;1,"Duplicate lot ID",IF(OR(B406="",H406="",I406="",J406=""),"Complete required fields",IF(L406&lt;0,"OVER SOLD","OK"))))</f>
        <v/>
      </c>
    </row>
    <row r="407" ht="23" customHeight="1">
      <c r="A407" s="14" t="n"/>
      <c r="B407" s="15" t="n"/>
      <c r="C407" s="15" t="n"/>
      <c r="D407" s="15" t="n"/>
      <c r="E407" s="15" t="n"/>
      <c r="F407" s="14" t="n"/>
      <c r="G407" s="15" t="n"/>
      <c r="H407" s="15" t="n"/>
      <c r="I407" s="16" t="n"/>
      <c r="J407" s="16" t="n"/>
      <c r="K407" s="12">
        <f>IF(A407="","",SUMIF(Sales!$C$2:$C$501,A407,Sales!$E$2:$E$501))</f>
        <v/>
      </c>
      <c r="L407" s="12">
        <f>IF(A407="","",H407-K407)</f>
        <v/>
      </c>
      <c r="M407" s="13">
        <f>IF(A407="","",ROUND(L407*I407,2))</f>
        <v/>
      </c>
      <c r="N407" s="13">
        <f>IF(A407="","",ROUND(L407*J407,2))</f>
        <v/>
      </c>
      <c r="O407" s="15" t="n"/>
      <c r="P407" s="12">
        <f>IF(A407="","",IF(COUNTIF($A$2:$A$501,A407)&gt;1,"Duplicate lot ID",IF(OR(B407="",H407="",I407="",J407=""),"Complete required fields",IF(L407&lt;0,"OVER SOLD","OK"))))</f>
        <v/>
      </c>
    </row>
    <row r="408" ht="23" customHeight="1">
      <c r="A408" s="9" t="n"/>
      <c r="B408" s="10" t="n"/>
      <c r="C408" s="10" t="n"/>
      <c r="D408" s="10" t="n"/>
      <c r="E408" s="10" t="n"/>
      <c r="F408" s="9" t="n"/>
      <c r="G408" s="10" t="n"/>
      <c r="H408" s="10" t="n"/>
      <c r="I408" s="11" t="n"/>
      <c r="J408" s="11" t="n"/>
      <c r="K408" s="12">
        <f>IF(A408="","",SUMIF(Sales!$C$2:$C$501,A408,Sales!$E$2:$E$501))</f>
        <v/>
      </c>
      <c r="L408" s="12">
        <f>IF(A408="","",H408-K408)</f>
        <v/>
      </c>
      <c r="M408" s="13">
        <f>IF(A408="","",ROUND(L408*I408,2))</f>
        <v/>
      </c>
      <c r="N408" s="13">
        <f>IF(A408="","",ROUND(L408*J408,2))</f>
        <v/>
      </c>
      <c r="O408" s="10" t="n"/>
      <c r="P408" s="12">
        <f>IF(A408="","",IF(COUNTIF($A$2:$A$501,A408)&gt;1,"Duplicate lot ID",IF(OR(B408="",H408="",I408="",J408=""),"Complete required fields",IF(L408&lt;0,"OVER SOLD","OK"))))</f>
        <v/>
      </c>
    </row>
    <row r="409" ht="23" customHeight="1">
      <c r="A409" s="14" t="n"/>
      <c r="B409" s="15" t="n"/>
      <c r="C409" s="15" t="n"/>
      <c r="D409" s="15" t="n"/>
      <c r="E409" s="15" t="n"/>
      <c r="F409" s="14" t="n"/>
      <c r="G409" s="15" t="n"/>
      <c r="H409" s="15" t="n"/>
      <c r="I409" s="16" t="n"/>
      <c r="J409" s="16" t="n"/>
      <c r="K409" s="12">
        <f>IF(A409="","",SUMIF(Sales!$C$2:$C$501,A409,Sales!$E$2:$E$501))</f>
        <v/>
      </c>
      <c r="L409" s="12">
        <f>IF(A409="","",H409-K409)</f>
        <v/>
      </c>
      <c r="M409" s="13">
        <f>IF(A409="","",ROUND(L409*I409,2))</f>
        <v/>
      </c>
      <c r="N409" s="13">
        <f>IF(A409="","",ROUND(L409*J409,2))</f>
        <v/>
      </c>
      <c r="O409" s="15" t="n"/>
      <c r="P409" s="12">
        <f>IF(A409="","",IF(COUNTIF($A$2:$A$501,A409)&gt;1,"Duplicate lot ID",IF(OR(B409="",H409="",I409="",J409=""),"Complete required fields",IF(L409&lt;0,"OVER SOLD","OK"))))</f>
        <v/>
      </c>
    </row>
    <row r="410" ht="23" customHeight="1">
      <c r="A410" s="9" t="n"/>
      <c r="B410" s="10" t="n"/>
      <c r="C410" s="10" t="n"/>
      <c r="D410" s="10" t="n"/>
      <c r="E410" s="10" t="n"/>
      <c r="F410" s="9" t="n"/>
      <c r="G410" s="10" t="n"/>
      <c r="H410" s="10" t="n"/>
      <c r="I410" s="11" t="n"/>
      <c r="J410" s="11" t="n"/>
      <c r="K410" s="12">
        <f>IF(A410="","",SUMIF(Sales!$C$2:$C$501,A410,Sales!$E$2:$E$501))</f>
        <v/>
      </c>
      <c r="L410" s="12">
        <f>IF(A410="","",H410-K410)</f>
        <v/>
      </c>
      <c r="M410" s="13">
        <f>IF(A410="","",ROUND(L410*I410,2))</f>
        <v/>
      </c>
      <c r="N410" s="13">
        <f>IF(A410="","",ROUND(L410*J410,2))</f>
        <v/>
      </c>
      <c r="O410" s="10" t="n"/>
      <c r="P410" s="12">
        <f>IF(A410="","",IF(COUNTIF($A$2:$A$501,A410)&gt;1,"Duplicate lot ID",IF(OR(B410="",H410="",I410="",J410=""),"Complete required fields",IF(L410&lt;0,"OVER SOLD","OK"))))</f>
        <v/>
      </c>
    </row>
    <row r="411" ht="23" customHeight="1">
      <c r="A411" s="14" t="n"/>
      <c r="B411" s="15" t="n"/>
      <c r="C411" s="15" t="n"/>
      <c r="D411" s="15" t="n"/>
      <c r="E411" s="15" t="n"/>
      <c r="F411" s="14" t="n"/>
      <c r="G411" s="15" t="n"/>
      <c r="H411" s="15" t="n"/>
      <c r="I411" s="16" t="n"/>
      <c r="J411" s="16" t="n"/>
      <c r="K411" s="12">
        <f>IF(A411="","",SUMIF(Sales!$C$2:$C$501,A411,Sales!$E$2:$E$501))</f>
        <v/>
      </c>
      <c r="L411" s="12">
        <f>IF(A411="","",H411-K411)</f>
        <v/>
      </c>
      <c r="M411" s="13">
        <f>IF(A411="","",ROUND(L411*I411,2))</f>
        <v/>
      </c>
      <c r="N411" s="13">
        <f>IF(A411="","",ROUND(L411*J411,2))</f>
        <v/>
      </c>
      <c r="O411" s="15" t="n"/>
      <c r="P411" s="12">
        <f>IF(A411="","",IF(COUNTIF($A$2:$A$501,A411)&gt;1,"Duplicate lot ID",IF(OR(B411="",H411="",I411="",J411=""),"Complete required fields",IF(L411&lt;0,"OVER SOLD","OK"))))</f>
        <v/>
      </c>
    </row>
    <row r="412" ht="23" customHeight="1">
      <c r="A412" s="9" t="n"/>
      <c r="B412" s="10" t="n"/>
      <c r="C412" s="10" t="n"/>
      <c r="D412" s="10" t="n"/>
      <c r="E412" s="10" t="n"/>
      <c r="F412" s="9" t="n"/>
      <c r="G412" s="10" t="n"/>
      <c r="H412" s="10" t="n"/>
      <c r="I412" s="11" t="n"/>
      <c r="J412" s="11" t="n"/>
      <c r="K412" s="12">
        <f>IF(A412="","",SUMIF(Sales!$C$2:$C$501,A412,Sales!$E$2:$E$501))</f>
        <v/>
      </c>
      <c r="L412" s="12">
        <f>IF(A412="","",H412-K412)</f>
        <v/>
      </c>
      <c r="M412" s="13">
        <f>IF(A412="","",ROUND(L412*I412,2))</f>
        <v/>
      </c>
      <c r="N412" s="13">
        <f>IF(A412="","",ROUND(L412*J412,2))</f>
        <v/>
      </c>
      <c r="O412" s="10" t="n"/>
      <c r="P412" s="12">
        <f>IF(A412="","",IF(COUNTIF($A$2:$A$501,A412)&gt;1,"Duplicate lot ID",IF(OR(B412="",H412="",I412="",J412=""),"Complete required fields",IF(L412&lt;0,"OVER SOLD","OK"))))</f>
        <v/>
      </c>
    </row>
    <row r="413" ht="23" customHeight="1">
      <c r="A413" s="14" t="n"/>
      <c r="B413" s="15" t="n"/>
      <c r="C413" s="15" t="n"/>
      <c r="D413" s="15" t="n"/>
      <c r="E413" s="15" t="n"/>
      <c r="F413" s="14" t="n"/>
      <c r="G413" s="15" t="n"/>
      <c r="H413" s="15" t="n"/>
      <c r="I413" s="16" t="n"/>
      <c r="J413" s="16" t="n"/>
      <c r="K413" s="12">
        <f>IF(A413="","",SUMIF(Sales!$C$2:$C$501,A413,Sales!$E$2:$E$501))</f>
        <v/>
      </c>
      <c r="L413" s="12">
        <f>IF(A413="","",H413-K413)</f>
        <v/>
      </c>
      <c r="M413" s="13">
        <f>IF(A413="","",ROUND(L413*I413,2))</f>
        <v/>
      </c>
      <c r="N413" s="13">
        <f>IF(A413="","",ROUND(L413*J413,2))</f>
        <v/>
      </c>
      <c r="O413" s="15" t="n"/>
      <c r="P413" s="12">
        <f>IF(A413="","",IF(COUNTIF($A$2:$A$501,A413)&gt;1,"Duplicate lot ID",IF(OR(B413="",H413="",I413="",J413=""),"Complete required fields",IF(L413&lt;0,"OVER SOLD","OK"))))</f>
        <v/>
      </c>
    </row>
    <row r="414" ht="23" customHeight="1">
      <c r="A414" s="9" t="n"/>
      <c r="B414" s="10" t="n"/>
      <c r="C414" s="10" t="n"/>
      <c r="D414" s="10" t="n"/>
      <c r="E414" s="10" t="n"/>
      <c r="F414" s="9" t="n"/>
      <c r="G414" s="10" t="n"/>
      <c r="H414" s="10" t="n"/>
      <c r="I414" s="11" t="n"/>
      <c r="J414" s="11" t="n"/>
      <c r="K414" s="12">
        <f>IF(A414="","",SUMIF(Sales!$C$2:$C$501,A414,Sales!$E$2:$E$501))</f>
        <v/>
      </c>
      <c r="L414" s="12">
        <f>IF(A414="","",H414-K414)</f>
        <v/>
      </c>
      <c r="M414" s="13">
        <f>IF(A414="","",ROUND(L414*I414,2))</f>
        <v/>
      </c>
      <c r="N414" s="13">
        <f>IF(A414="","",ROUND(L414*J414,2))</f>
        <v/>
      </c>
      <c r="O414" s="10" t="n"/>
      <c r="P414" s="12">
        <f>IF(A414="","",IF(COUNTIF($A$2:$A$501,A414)&gt;1,"Duplicate lot ID",IF(OR(B414="",H414="",I414="",J414=""),"Complete required fields",IF(L414&lt;0,"OVER SOLD","OK"))))</f>
        <v/>
      </c>
    </row>
    <row r="415" ht="23" customHeight="1">
      <c r="A415" s="14" t="n"/>
      <c r="B415" s="15" t="n"/>
      <c r="C415" s="15" t="n"/>
      <c r="D415" s="15" t="n"/>
      <c r="E415" s="15" t="n"/>
      <c r="F415" s="14" t="n"/>
      <c r="G415" s="15" t="n"/>
      <c r="H415" s="15" t="n"/>
      <c r="I415" s="16" t="n"/>
      <c r="J415" s="16" t="n"/>
      <c r="K415" s="12">
        <f>IF(A415="","",SUMIF(Sales!$C$2:$C$501,A415,Sales!$E$2:$E$501))</f>
        <v/>
      </c>
      <c r="L415" s="12">
        <f>IF(A415="","",H415-K415)</f>
        <v/>
      </c>
      <c r="M415" s="13">
        <f>IF(A415="","",ROUND(L415*I415,2))</f>
        <v/>
      </c>
      <c r="N415" s="13">
        <f>IF(A415="","",ROUND(L415*J415,2))</f>
        <v/>
      </c>
      <c r="O415" s="15" t="n"/>
      <c r="P415" s="12">
        <f>IF(A415="","",IF(COUNTIF($A$2:$A$501,A415)&gt;1,"Duplicate lot ID",IF(OR(B415="",H415="",I415="",J415=""),"Complete required fields",IF(L415&lt;0,"OVER SOLD","OK"))))</f>
        <v/>
      </c>
    </row>
    <row r="416" ht="23" customHeight="1">
      <c r="A416" s="9" t="n"/>
      <c r="B416" s="10" t="n"/>
      <c r="C416" s="10" t="n"/>
      <c r="D416" s="10" t="n"/>
      <c r="E416" s="10" t="n"/>
      <c r="F416" s="9" t="n"/>
      <c r="G416" s="10" t="n"/>
      <c r="H416" s="10" t="n"/>
      <c r="I416" s="11" t="n"/>
      <c r="J416" s="11" t="n"/>
      <c r="K416" s="12">
        <f>IF(A416="","",SUMIF(Sales!$C$2:$C$501,A416,Sales!$E$2:$E$501))</f>
        <v/>
      </c>
      <c r="L416" s="12">
        <f>IF(A416="","",H416-K416)</f>
        <v/>
      </c>
      <c r="M416" s="13">
        <f>IF(A416="","",ROUND(L416*I416,2))</f>
        <v/>
      </c>
      <c r="N416" s="13">
        <f>IF(A416="","",ROUND(L416*J416,2))</f>
        <v/>
      </c>
      <c r="O416" s="10" t="n"/>
      <c r="P416" s="12">
        <f>IF(A416="","",IF(COUNTIF($A$2:$A$501,A416)&gt;1,"Duplicate lot ID",IF(OR(B416="",H416="",I416="",J416=""),"Complete required fields",IF(L416&lt;0,"OVER SOLD","OK"))))</f>
        <v/>
      </c>
    </row>
    <row r="417" ht="23" customHeight="1">
      <c r="A417" s="14" t="n"/>
      <c r="B417" s="15" t="n"/>
      <c r="C417" s="15" t="n"/>
      <c r="D417" s="15" t="n"/>
      <c r="E417" s="15" t="n"/>
      <c r="F417" s="14" t="n"/>
      <c r="G417" s="15" t="n"/>
      <c r="H417" s="15" t="n"/>
      <c r="I417" s="16" t="n"/>
      <c r="J417" s="16" t="n"/>
      <c r="K417" s="12">
        <f>IF(A417="","",SUMIF(Sales!$C$2:$C$501,A417,Sales!$E$2:$E$501))</f>
        <v/>
      </c>
      <c r="L417" s="12">
        <f>IF(A417="","",H417-K417)</f>
        <v/>
      </c>
      <c r="M417" s="13">
        <f>IF(A417="","",ROUND(L417*I417,2))</f>
        <v/>
      </c>
      <c r="N417" s="13">
        <f>IF(A417="","",ROUND(L417*J417,2))</f>
        <v/>
      </c>
      <c r="O417" s="15" t="n"/>
      <c r="P417" s="12">
        <f>IF(A417="","",IF(COUNTIF($A$2:$A$501,A417)&gt;1,"Duplicate lot ID",IF(OR(B417="",H417="",I417="",J417=""),"Complete required fields",IF(L417&lt;0,"OVER SOLD","OK"))))</f>
        <v/>
      </c>
    </row>
    <row r="418" ht="23" customHeight="1">
      <c r="A418" s="9" t="n"/>
      <c r="B418" s="10" t="n"/>
      <c r="C418" s="10" t="n"/>
      <c r="D418" s="10" t="n"/>
      <c r="E418" s="10" t="n"/>
      <c r="F418" s="9" t="n"/>
      <c r="G418" s="10" t="n"/>
      <c r="H418" s="10" t="n"/>
      <c r="I418" s="11" t="n"/>
      <c r="J418" s="11" t="n"/>
      <c r="K418" s="12">
        <f>IF(A418="","",SUMIF(Sales!$C$2:$C$501,A418,Sales!$E$2:$E$501))</f>
        <v/>
      </c>
      <c r="L418" s="12">
        <f>IF(A418="","",H418-K418)</f>
        <v/>
      </c>
      <c r="M418" s="13">
        <f>IF(A418="","",ROUND(L418*I418,2))</f>
        <v/>
      </c>
      <c r="N418" s="13">
        <f>IF(A418="","",ROUND(L418*J418,2))</f>
        <v/>
      </c>
      <c r="O418" s="10" t="n"/>
      <c r="P418" s="12">
        <f>IF(A418="","",IF(COUNTIF($A$2:$A$501,A418)&gt;1,"Duplicate lot ID",IF(OR(B418="",H418="",I418="",J418=""),"Complete required fields",IF(L418&lt;0,"OVER SOLD","OK"))))</f>
        <v/>
      </c>
    </row>
    <row r="419" ht="23" customHeight="1">
      <c r="A419" s="14" t="n"/>
      <c r="B419" s="15" t="n"/>
      <c r="C419" s="15" t="n"/>
      <c r="D419" s="15" t="n"/>
      <c r="E419" s="15" t="n"/>
      <c r="F419" s="14" t="n"/>
      <c r="G419" s="15" t="n"/>
      <c r="H419" s="15" t="n"/>
      <c r="I419" s="16" t="n"/>
      <c r="J419" s="16" t="n"/>
      <c r="K419" s="12">
        <f>IF(A419="","",SUMIF(Sales!$C$2:$C$501,A419,Sales!$E$2:$E$501))</f>
        <v/>
      </c>
      <c r="L419" s="12">
        <f>IF(A419="","",H419-K419)</f>
        <v/>
      </c>
      <c r="M419" s="13">
        <f>IF(A419="","",ROUND(L419*I419,2))</f>
        <v/>
      </c>
      <c r="N419" s="13">
        <f>IF(A419="","",ROUND(L419*J419,2))</f>
        <v/>
      </c>
      <c r="O419" s="15" t="n"/>
      <c r="P419" s="12">
        <f>IF(A419="","",IF(COUNTIF($A$2:$A$501,A419)&gt;1,"Duplicate lot ID",IF(OR(B419="",H419="",I419="",J419=""),"Complete required fields",IF(L419&lt;0,"OVER SOLD","OK"))))</f>
        <v/>
      </c>
    </row>
    <row r="420" ht="23" customHeight="1">
      <c r="A420" s="9" t="n"/>
      <c r="B420" s="10" t="n"/>
      <c r="C420" s="10" t="n"/>
      <c r="D420" s="10" t="n"/>
      <c r="E420" s="10" t="n"/>
      <c r="F420" s="9" t="n"/>
      <c r="G420" s="10" t="n"/>
      <c r="H420" s="10" t="n"/>
      <c r="I420" s="11" t="n"/>
      <c r="J420" s="11" t="n"/>
      <c r="K420" s="12">
        <f>IF(A420="","",SUMIF(Sales!$C$2:$C$501,A420,Sales!$E$2:$E$501))</f>
        <v/>
      </c>
      <c r="L420" s="12">
        <f>IF(A420="","",H420-K420)</f>
        <v/>
      </c>
      <c r="M420" s="13">
        <f>IF(A420="","",ROUND(L420*I420,2))</f>
        <v/>
      </c>
      <c r="N420" s="13">
        <f>IF(A420="","",ROUND(L420*J420,2))</f>
        <v/>
      </c>
      <c r="O420" s="10" t="n"/>
      <c r="P420" s="12">
        <f>IF(A420="","",IF(COUNTIF($A$2:$A$501,A420)&gt;1,"Duplicate lot ID",IF(OR(B420="",H420="",I420="",J420=""),"Complete required fields",IF(L420&lt;0,"OVER SOLD","OK"))))</f>
        <v/>
      </c>
    </row>
    <row r="421" ht="23" customHeight="1">
      <c r="A421" s="14" t="n"/>
      <c r="B421" s="15" t="n"/>
      <c r="C421" s="15" t="n"/>
      <c r="D421" s="15" t="n"/>
      <c r="E421" s="15" t="n"/>
      <c r="F421" s="14" t="n"/>
      <c r="G421" s="15" t="n"/>
      <c r="H421" s="15" t="n"/>
      <c r="I421" s="16" t="n"/>
      <c r="J421" s="16" t="n"/>
      <c r="K421" s="12">
        <f>IF(A421="","",SUMIF(Sales!$C$2:$C$501,A421,Sales!$E$2:$E$501))</f>
        <v/>
      </c>
      <c r="L421" s="12">
        <f>IF(A421="","",H421-K421)</f>
        <v/>
      </c>
      <c r="M421" s="13">
        <f>IF(A421="","",ROUND(L421*I421,2))</f>
        <v/>
      </c>
      <c r="N421" s="13">
        <f>IF(A421="","",ROUND(L421*J421,2))</f>
        <v/>
      </c>
      <c r="O421" s="15" t="n"/>
      <c r="P421" s="12">
        <f>IF(A421="","",IF(COUNTIF($A$2:$A$501,A421)&gt;1,"Duplicate lot ID",IF(OR(B421="",H421="",I421="",J421=""),"Complete required fields",IF(L421&lt;0,"OVER SOLD","OK"))))</f>
        <v/>
      </c>
    </row>
    <row r="422" ht="23" customHeight="1">
      <c r="A422" s="9" t="n"/>
      <c r="B422" s="10" t="n"/>
      <c r="C422" s="10" t="n"/>
      <c r="D422" s="10" t="n"/>
      <c r="E422" s="10" t="n"/>
      <c r="F422" s="9" t="n"/>
      <c r="G422" s="10" t="n"/>
      <c r="H422" s="10" t="n"/>
      <c r="I422" s="11" t="n"/>
      <c r="J422" s="11" t="n"/>
      <c r="K422" s="12">
        <f>IF(A422="","",SUMIF(Sales!$C$2:$C$501,A422,Sales!$E$2:$E$501))</f>
        <v/>
      </c>
      <c r="L422" s="12">
        <f>IF(A422="","",H422-K422)</f>
        <v/>
      </c>
      <c r="M422" s="13">
        <f>IF(A422="","",ROUND(L422*I422,2))</f>
        <v/>
      </c>
      <c r="N422" s="13">
        <f>IF(A422="","",ROUND(L422*J422,2))</f>
        <v/>
      </c>
      <c r="O422" s="10" t="n"/>
      <c r="P422" s="12">
        <f>IF(A422="","",IF(COUNTIF($A$2:$A$501,A422)&gt;1,"Duplicate lot ID",IF(OR(B422="",H422="",I422="",J422=""),"Complete required fields",IF(L422&lt;0,"OVER SOLD","OK"))))</f>
        <v/>
      </c>
    </row>
    <row r="423" ht="23" customHeight="1">
      <c r="A423" s="14" t="n"/>
      <c r="B423" s="15" t="n"/>
      <c r="C423" s="15" t="n"/>
      <c r="D423" s="15" t="n"/>
      <c r="E423" s="15" t="n"/>
      <c r="F423" s="14" t="n"/>
      <c r="G423" s="15" t="n"/>
      <c r="H423" s="15" t="n"/>
      <c r="I423" s="16" t="n"/>
      <c r="J423" s="16" t="n"/>
      <c r="K423" s="12">
        <f>IF(A423="","",SUMIF(Sales!$C$2:$C$501,A423,Sales!$E$2:$E$501))</f>
        <v/>
      </c>
      <c r="L423" s="12">
        <f>IF(A423="","",H423-K423)</f>
        <v/>
      </c>
      <c r="M423" s="13">
        <f>IF(A423="","",ROUND(L423*I423,2))</f>
        <v/>
      </c>
      <c r="N423" s="13">
        <f>IF(A423="","",ROUND(L423*J423,2))</f>
        <v/>
      </c>
      <c r="O423" s="15" t="n"/>
      <c r="P423" s="12">
        <f>IF(A423="","",IF(COUNTIF($A$2:$A$501,A423)&gt;1,"Duplicate lot ID",IF(OR(B423="",H423="",I423="",J423=""),"Complete required fields",IF(L423&lt;0,"OVER SOLD","OK"))))</f>
        <v/>
      </c>
    </row>
    <row r="424" ht="23" customHeight="1">
      <c r="A424" s="9" t="n"/>
      <c r="B424" s="10" t="n"/>
      <c r="C424" s="10" t="n"/>
      <c r="D424" s="10" t="n"/>
      <c r="E424" s="10" t="n"/>
      <c r="F424" s="9" t="n"/>
      <c r="G424" s="10" t="n"/>
      <c r="H424" s="10" t="n"/>
      <c r="I424" s="11" t="n"/>
      <c r="J424" s="11" t="n"/>
      <c r="K424" s="12">
        <f>IF(A424="","",SUMIF(Sales!$C$2:$C$501,A424,Sales!$E$2:$E$501))</f>
        <v/>
      </c>
      <c r="L424" s="12">
        <f>IF(A424="","",H424-K424)</f>
        <v/>
      </c>
      <c r="M424" s="13">
        <f>IF(A424="","",ROUND(L424*I424,2))</f>
        <v/>
      </c>
      <c r="N424" s="13">
        <f>IF(A424="","",ROUND(L424*J424,2))</f>
        <v/>
      </c>
      <c r="O424" s="10" t="n"/>
      <c r="P424" s="12">
        <f>IF(A424="","",IF(COUNTIF($A$2:$A$501,A424)&gt;1,"Duplicate lot ID",IF(OR(B424="",H424="",I424="",J424=""),"Complete required fields",IF(L424&lt;0,"OVER SOLD","OK"))))</f>
        <v/>
      </c>
    </row>
    <row r="425" ht="23" customHeight="1">
      <c r="A425" s="14" t="n"/>
      <c r="B425" s="15" t="n"/>
      <c r="C425" s="15" t="n"/>
      <c r="D425" s="15" t="n"/>
      <c r="E425" s="15" t="n"/>
      <c r="F425" s="14" t="n"/>
      <c r="G425" s="15" t="n"/>
      <c r="H425" s="15" t="n"/>
      <c r="I425" s="16" t="n"/>
      <c r="J425" s="16" t="n"/>
      <c r="K425" s="12">
        <f>IF(A425="","",SUMIF(Sales!$C$2:$C$501,A425,Sales!$E$2:$E$501))</f>
        <v/>
      </c>
      <c r="L425" s="12">
        <f>IF(A425="","",H425-K425)</f>
        <v/>
      </c>
      <c r="M425" s="13">
        <f>IF(A425="","",ROUND(L425*I425,2))</f>
        <v/>
      </c>
      <c r="N425" s="13">
        <f>IF(A425="","",ROUND(L425*J425,2))</f>
        <v/>
      </c>
      <c r="O425" s="15" t="n"/>
      <c r="P425" s="12">
        <f>IF(A425="","",IF(COUNTIF($A$2:$A$501,A425)&gt;1,"Duplicate lot ID",IF(OR(B425="",H425="",I425="",J425=""),"Complete required fields",IF(L425&lt;0,"OVER SOLD","OK"))))</f>
        <v/>
      </c>
    </row>
    <row r="426" ht="23" customHeight="1">
      <c r="A426" s="9" t="n"/>
      <c r="B426" s="10" t="n"/>
      <c r="C426" s="10" t="n"/>
      <c r="D426" s="10" t="n"/>
      <c r="E426" s="10" t="n"/>
      <c r="F426" s="9" t="n"/>
      <c r="G426" s="10" t="n"/>
      <c r="H426" s="10" t="n"/>
      <c r="I426" s="11" t="n"/>
      <c r="J426" s="11" t="n"/>
      <c r="K426" s="12">
        <f>IF(A426="","",SUMIF(Sales!$C$2:$C$501,A426,Sales!$E$2:$E$501))</f>
        <v/>
      </c>
      <c r="L426" s="12">
        <f>IF(A426="","",H426-K426)</f>
        <v/>
      </c>
      <c r="M426" s="13">
        <f>IF(A426="","",ROUND(L426*I426,2))</f>
        <v/>
      </c>
      <c r="N426" s="13">
        <f>IF(A426="","",ROUND(L426*J426,2))</f>
        <v/>
      </c>
      <c r="O426" s="10" t="n"/>
      <c r="P426" s="12">
        <f>IF(A426="","",IF(COUNTIF($A$2:$A$501,A426)&gt;1,"Duplicate lot ID",IF(OR(B426="",H426="",I426="",J426=""),"Complete required fields",IF(L426&lt;0,"OVER SOLD","OK"))))</f>
        <v/>
      </c>
    </row>
    <row r="427" ht="23" customHeight="1">
      <c r="A427" s="14" t="n"/>
      <c r="B427" s="15" t="n"/>
      <c r="C427" s="15" t="n"/>
      <c r="D427" s="15" t="n"/>
      <c r="E427" s="15" t="n"/>
      <c r="F427" s="14" t="n"/>
      <c r="G427" s="15" t="n"/>
      <c r="H427" s="15" t="n"/>
      <c r="I427" s="16" t="n"/>
      <c r="J427" s="16" t="n"/>
      <c r="K427" s="12">
        <f>IF(A427="","",SUMIF(Sales!$C$2:$C$501,A427,Sales!$E$2:$E$501))</f>
        <v/>
      </c>
      <c r="L427" s="12">
        <f>IF(A427="","",H427-K427)</f>
        <v/>
      </c>
      <c r="M427" s="13">
        <f>IF(A427="","",ROUND(L427*I427,2))</f>
        <v/>
      </c>
      <c r="N427" s="13">
        <f>IF(A427="","",ROUND(L427*J427,2))</f>
        <v/>
      </c>
      <c r="O427" s="15" t="n"/>
      <c r="P427" s="12">
        <f>IF(A427="","",IF(COUNTIF($A$2:$A$501,A427)&gt;1,"Duplicate lot ID",IF(OR(B427="",H427="",I427="",J427=""),"Complete required fields",IF(L427&lt;0,"OVER SOLD","OK"))))</f>
        <v/>
      </c>
    </row>
    <row r="428" ht="23" customHeight="1">
      <c r="A428" s="9" t="n"/>
      <c r="B428" s="10" t="n"/>
      <c r="C428" s="10" t="n"/>
      <c r="D428" s="10" t="n"/>
      <c r="E428" s="10" t="n"/>
      <c r="F428" s="9" t="n"/>
      <c r="G428" s="10" t="n"/>
      <c r="H428" s="10" t="n"/>
      <c r="I428" s="11" t="n"/>
      <c r="J428" s="11" t="n"/>
      <c r="K428" s="12">
        <f>IF(A428="","",SUMIF(Sales!$C$2:$C$501,A428,Sales!$E$2:$E$501))</f>
        <v/>
      </c>
      <c r="L428" s="12">
        <f>IF(A428="","",H428-K428)</f>
        <v/>
      </c>
      <c r="M428" s="13">
        <f>IF(A428="","",ROUND(L428*I428,2))</f>
        <v/>
      </c>
      <c r="N428" s="13">
        <f>IF(A428="","",ROUND(L428*J428,2))</f>
        <v/>
      </c>
      <c r="O428" s="10" t="n"/>
      <c r="P428" s="12">
        <f>IF(A428="","",IF(COUNTIF($A$2:$A$501,A428)&gt;1,"Duplicate lot ID",IF(OR(B428="",H428="",I428="",J428=""),"Complete required fields",IF(L428&lt;0,"OVER SOLD","OK"))))</f>
        <v/>
      </c>
    </row>
    <row r="429" ht="23" customHeight="1">
      <c r="A429" s="14" t="n"/>
      <c r="B429" s="15" t="n"/>
      <c r="C429" s="15" t="n"/>
      <c r="D429" s="15" t="n"/>
      <c r="E429" s="15" t="n"/>
      <c r="F429" s="14" t="n"/>
      <c r="G429" s="15" t="n"/>
      <c r="H429" s="15" t="n"/>
      <c r="I429" s="16" t="n"/>
      <c r="J429" s="16" t="n"/>
      <c r="K429" s="12">
        <f>IF(A429="","",SUMIF(Sales!$C$2:$C$501,A429,Sales!$E$2:$E$501))</f>
        <v/>
      </c>
      <c r="L429" s="12">
        <f>IF(A429="","",H429-K429)</f>
        <v/>
      </c>
      <c r="M429" s="13">
        <f>IF(A429="","",ROUND(L429*I429,2))</f>
        <v/>
      </c>
      <c r="N429" s="13">
        <f>IF(A429="","",ROUND(L429*J429,2))</f>
        <v/>
      </c>
      <c r="O429" s="15" t="n"/>
      <c r="P429" s="12">
        <f>IF(A429="","",IF(COUNTIF($A$2:$A$501,A429)&gt;1,"Duplicate lot ID",IF(OR(B429="",H429="",I429="",J429=""),"Complete required fields",IF(L429&lt;0,"OVER SOLD","OK"))))</f>
        <v/>
      </c>
    </row>
    <row r="430" ht="23" customHeight="1">
      <c r="A430" s="9" t="n"/>
      <c r="B430" s="10" t="n"/>
      <c r="C430" s="10" t="n"/>
      <c r="D430" s="10" t="n"/>
      <c r="E430" s="10" t="n"/>
      <c r="F430" s="9" t="n"/>
      <c r="G430" s="10" t="n"/>
      <c r="H430" s="10" t="n"/>
      <c r="I430" s="11" t="n"/>
      <c r="J430" s="11" t="n"/>
      <c r="K430" s="12">
        <f>IF(A430="","",SUMIF(Sales!$C$2:$C$501,A430,Sales!$E$2:$E$501))</f>
        <v/>
      </c>
      <c r="L430" s="12">
        <f>IF(A430="","",H430-K430)</f>
        <v/>
      </c>
      <c r="M430" s="13">
        <f>IF(A430="","",ROUND(L430*I430,2))</f>
        <v/>
      </c>
      <c r="N430" s="13">
        <f>IF(A430="","",ROUND(L430*J430,2))</f>
        <v/>
      </c>
      <c r="O430" s="10" t="n"/>
      <c r="P430" s="12">
        <f>IF(A430="","",IF(COUNTIF($A$2:$A$501,A430)&gt;1,"Duplicate lot ID",IF(OR(B430="",H430="",I430="",J430=""),"Complete required fields",IF(L430&lt;0,"OVER SOLD","OK"))))</f>
        <v/>
      </c>
    </row>
    <row r="431" ht="23" customHeight="1">
      <c r="A431" s="14" t="n"/>
      <c r="B431" s="15" t="n"/>
      <c r="C431" s="15" t="n"/>
      <c r="D431" s="15" t="n"/>
      <c r="E431" s="15" t="n"/>
      <c r="F431" s="14" t="n"/>
      <c r="G431" s="15" t="n"/>
      <c r="H431" s="15" t="n"/>
      <c r="I431" s="16" t="n"/>
      <c r="J431" s="16" t="n"/>
      <c r="K431" s="12">
        <f>IF(A431="","",SUMIF(Sales!$C$2:$C$501,A431,Sales!$E$2:$E$501))</f>
        <v/>
      </c>
      <c r="L431" s="12">
        <f>IF(A431="","",H431-K431)</f>
        <v/>
      </c>
      <c r="M431" s="13">
        <f>IF(A431="","",ROUND(L431*I431,2))</f>
        <v/>
      </c>
      <c r="N431" s="13">
        <f>IF(A431="","",ROUND(L431*J431,2))</f>
        <v/>
      </c>
      <c r="O431" s="15" t="n"/>
      <c r="P431" s="12">
        <f>IF(A431="","",IF(COUNTIF($A$2:$A$501,A431)&gt;1,"Duplicate lot ID",IF(OR(B431="",H431="",I431="",J431=""),"Complete required fields",IF(L431&lt;0,"OVER SOLD","OK"))))</f>
        <v/>
      </c>
    </row>
    <row r="432" ht="23" customHeight="1">
      <c r="A432" s="9" t="n"/>
      <c r="B432" s="10" t="n"/>
      <c r="C432" s="10" t="n"/>
      <c r="D432" s="10" t="n"/>
      <c r="E432" s="10" t="n"/>
      <c r="F432" s="9" t="n"/>
      <c r="G432" s="10" t="n"/>
      <c r="H432" s="10" t="n"/>
      <c r="I432" s="11" t="n"/>
      <c r="J432" s="11" t="n"/>
      <c r="K432" s="12">
        <f>IF(A432="","",SUMIF(Sales!$C$2:$C$501,A432,Sales!$E$2:$E$501))</f>
        <v/>
      </c>
      <c r="L432" s="12">
        <f>IF(A432="","",H432-K432)</f>
        <v/>
      </c>
      <c r="M432" s="13">
        <f>IF(A432="","",ROUND(L432*I432,2))</f>
        <v/>
      </c>
      <c r="N432" s="13">
        <f>IF(A432="","",ROUND(L432*J432,2))</f>
        <v/>
      </c>
      <c r="O432" s="10" t="n"/>
      <c r="P432" s="12">
        <f>IF(A432="","",IF(COUNTIF($A$2:$A$501,A432)&gt;1,"Duplicate lot ID",IF(OR(B432="",H432="",I432="",J432=""),"Complete required fields",IF(L432&lt;0,"OVER SOLD","OK"))))</f>
        <v/>
      </c>
    </row>
    <row r="433" ht="23" customHeight="1">
      <c r="A433" s="14" t="n"/>
      <c r="B433" s="15" t="n"/>
      <c r="C433" s="15" t="n"/>
      <c r="D433" s="15" t="n"/>
      <c r="E433" s="15" t="n"/>
      <c r="F433" s="14" t="n"/>
      <c r="G433" s="15" t="n"/>
      <c r="H433" s="15" t="n"/>
      <c r="I433" s="16" t="n"/>
      <c r="J433" s="16" t="n"/>
      <c r="K433" s="12">
        <f>IF(A433="","",SUMIF(Sales!$C$2:$C$501,A433,Sales!$E$2:$E$501))</f>
        <v/>
      </c>
      <c r="L433" s="12">
        <f>IF(A433="","",H433-K433)</f>
        <v/>
      </c>
      <c r="M433" s="13">
        <f>IF(A433="","",ROUND(L433*I433,2))</f>
        <v/>
      </c>
      <c r="N433" s="13">
        <f>IF(A433="","",ROUND(L433*J433,2))</f>
        <v/>
      </c>
      <c r="O433" s="15" t="n"/>
      <c r="P433" s="12">
        <f>IF(A433="","",IF(COUNTIF($A$2:$A$501,A433)&gt;1,"Duplicate lot ID",IF(OR(B433="",H433="",I433="",J433=""),"Complete required fields",IF(L433&lt;0,"OVER SOLD","OK"))))</f>
        <v/>
      </c>
    </row>
    <row r="434" ht="23" customHeight="1">
      <c r="A434" s="9" t="n"/>
      <c r="B434" s="10" t="n"/>
      <c r="C434" s="10" t="n"/>
      <c r="D434" s="10" t="n"/>
      <c r="E434" s="10" t="n"/>
      <c r="F434" s="9" t="n"/>
      <c r="G434" s="10" t="n"/>
      <c r="H434" s="10" t="n"/>
      <c r="I434" s="11" t="n"/>
      <c r="J434" s="11" t="n"/>
      <c r="K434" s="12">
        <f>IF(A434="","",SUMIF(Sales!$C$2:$C$501,A434,Sales!$E$2:$E$501))</f>
        <v/>
      </c>
      <c r="L434" s="12">
        <f>IF(A434="","",H434-K434)</f>
        <v/>
      </c>
      <c r="M434" s="13">
        <f>IF(A434="","",ROUND(L434*I434,2))</f>
        <v/>
      </c>
      <c r="N434" s="13">
        <f>IF(A434="","",ROUND(L434*J434,2))</f>
        <v/>
      </c>
      <c r="O434" s="10" t="n"/>
      <c r="P434" s="12">
        <f>IF(A434="","",IF(COUNTIF($A$2:$A$501,A434)&gt;1,"Duplicate lot ID",IF(OR(B434="",H434="",I434="",J434=""),"Complete required fields",IF(L434&lt;0,"OVER SOLD","OK"))))</f>
        <v/>
      </c>
    </row>
    <row r="435" ht="23" customHeight="1">
      <c r="A435" s="14" t="n"/>
      <c r="B435" s="15" t="n"/>
      <c r="C435" s="15" t="n"/>
      <c r="D435" s="15" t="n"/>
      <c r="E435" s="15" t="n"/>
      <c r="F435" s="14" t="n"/>
      <c r="G435" s="15" t="n"/>
      <c r="H435" s="15" t="n"/>
      <c r="I435" s="16" t="n"/>
      <c r="J435" s="16" t="n"/>
      <c r="K435" s="12">
        <f>IF(A435="","",SUMIF(Sales!$C$2:$C$501,A435,Sales!$E$2:$E$501))</f>
        <v/>
      </c>
      <c r="L435" s="12">
        <f>IF(A435="","",H435-K435)</f>
        <v/>
      </c>
      <c r="M435" s="13">
        <f>IF(A435="","",ROUND(L435*I435,2))</f>
        <v/>
      </c>
      <c r="N435" s="13">
        <f>IF(A435="","",ROUND(L435*J435,2))</f>
        <v/>
      </c>
      <c r="O435" s="15" t="n"/>
      <c r="P435" s="12">
        <f>IF(A435="","",IF(COUNTIF($A$2:$A$501,A435)&gt;1,"Duplicate lot ID",IF(OR(B435="",H435="",I435="",J435=""),"Complete required fields",IF(L435&lt;0,"OVER SOLD","OK"))))</f>
        <v/>
      </c>
    </row>
    <row r="436" ht="23" customHeight="1">
      <c r="A436" s="9" t="n"/>
      <c r="B436" s="10" t="n"/>
      <c r="C436" s="10" t="n"/>
      <c r="D436" s="10" t="n"/>
      <c r="E436" s="10" t="n"/>
      <c r="F436" s="9" t="n"/>
      <c r="G436" s="10" t="n"/>
      <c r="H436" s="10" t="n"/>
      <c r="I436" s="11" t="n"/>
      <c r="J436" s="11" t="n"/>
      <c r="K436" s="12">
        <f>IF(A436="","",SUMIF(Sales!$C$2:$C$501,A436,Sales!$E$2:$E$501))</f>
        <v/>
      </c>
      <c r="L436" s="12">
        <f>IF(A436="","",H436-K436)</f>
        <v/>
      </c>
      <c r="M436" s="13">
        <f>IF(A436="","",ROUND(L436*I436,2))</f>
        <v/>
      </c>
      <c r="N436" s="13">
        <f>IF(A436="","",ROUND(L436*J436,2))</f>
        <v/>
      </c>
      <c r="O436" s="10" t="n"/>
      <c r="P436" s="12">
        <f>IF(A436="","",IF(COUNTIF($A$2:$A$501,A436)&gt;1,"Duplicate lot ID",IF(OR(B436="",H436="",I436="",J436=""),"Complete required fields",IF(L436&lt;0,"OVER SOLD","OK"))))</f>
        <v/>
      </c>
    </row>
    <row r="437" ht="23" customHeight="1">
      <c r="A437" s="14" t="n"/>
      <c r="B437" s="15" t="n"/>
      <c r="C437" s="15" t="n"/>
      <c r="D437" s="15" t="n"/>
      <c r="E437" s="15" t="n"/>
      <c r="F437" s="14" t="n"/>
      <c r="G437" s="15" t="n"/>
      <c r="H437" s="15" t="n"/>
      <c r="I437" s="16" t="n"/>
      <c r="J437" s="16" t="n"/>
      <c r="K437" s="12">
        <f>IF(A437="","",SUMIF(Sales!$C$2:$C$501,A437,Sales!$E$2:$E$501))</f>
        <v/>
      </c>
      <c r="L437" s="12">
        <f>IF(A437="","",H437-K437)</f>
        <v/>
      </c>
      <c r="M437" s="13">
        <f>IF(A437="","",ROUND(L437*I437,2))</f>
        <v/>
      </c>
      <c r="N437" s="13">
        <f>IF(A437="","",ROUND(L437*J437,2))</f>
        <v/>
      </c>
      <c r="O437" s="15" t="n"/>
      <c r="P437" s="12">
        <f>IF(A437="","",IF(COUNTIF($A$2:$A$501,A437)&gt;1,"Duplicate lot ID",IF(OR(B437="",H437="",I437="",J437=""),"Complete required fields",IF(L437&lt;0,"OVER SOLD","OK"))))</f>
        <v/>
      </c>
    </row>
    <row r="438" ht="23" customHeight="1">
      <c r="A438" s="9" t="n"/>
      <c r="B438" s="10" t="n"/>
      <c r="C438" s="10" t="n"/>
      <c r="D438" s="10" t="n"/>
      <c r="E438" s="10" t="n"/>
      <c r="F438" s="9" t="n"/>
      <c r="G438" s="10" t="n"/>
      <c r="H438" s="10" t="n"/>
      <c r="I438" s="11" t="n"/>
      <c r="J438" s="11" t="n"/>
      <c r="K438" s="12">
        <f>IF(A438="","",SUMIF(Sales!$C$2:$C$501,A438,Sales!$E$2:$E$501))</f>
        <v/>
      </c>
      <c r="L438" s="12">
        <f>IF(A438="","",H438-K438)</f>
        <v/>
      </c>
      <c r="M438" s="13">
        <f>IF(A438="","",ROUND(L438*I438,2))</f>
        <v/>
      </c>
      <c r="N438" s="13">
        <f>IF(A438="","",ROUND(L438*J438,2))</f>
        <v/>
      </c>
      <c r="O438" s="10" t="n"/>
      <c r="P438" s="12">
        <f>IF(A438="","",IF(COUNTIF($A$2:$A$501,A438)&gt;1,"Duplicate lot ID",IF(OR(B438="",H438="",I438="",J438=""),"Complete required fields",IF(L438&lt;0,"OVER SOLD","OK"))))</f>
        <v/>
      </c>
    </row>
    <row r="439" ht="23" customHeight="1">
      <c r="A439" s="14" t="n"/>
      <c r="B439" s="15" t="n"/>
      <c r="C439" s="15" t="n"/>
      <c r="D439" s="15" t="n"/>
      <c r="E439" s="15" t="n"/>
      <c r="F439" s="14" t="n"/>
      <c r="G439" s="15" t="n"/>
      <c r="H439" s="15" t="n"/>
      <c r="I439" s="16" t="n"/>
      <c r="J439" s="16" t="n"/>
      <c r="K439" s="12">
        <f>IF(A439="","",SUMIF(Sales!$C$2:$C$501,A439,Sales!$E$2:$E$501))</f>
        <v/>
      </c>
      <c r="L439" s="12">
        <f>IF(A439="","",H439-K439)</f>
        <v/>
      </c>
      <c r="M439" s="13">
        <f>IF(A439="","",ROUND(L439*I439,2))</f>
        <v/>
      </c>
      <c r="N439" s="13">
        <f>IF(A439="","",ROUND(L439*J439,2))</f>
        <v/>
      </c>
      <c r="O439" s="15" t="n"/>
      <c r="P439" s="12">
        <f>IF(A439="","",IF(COUNTIF($A$2:$A$501,A439)&gt;1,"Duplicate lot ID",IF(OR(B439="",H439="",I439="",J439=""),"Complete required fields",IF(L439&lt;0,"OVER SOLD","OK"))))</f>
        <v/>
      </c>
    </row>
    <row r="440" ht="23" customHeight="1">
      <c r="A440" s="9" t="n"/>
      <c r="B440" s="10" t="n"/>
      <c r="C440" s="10" t="n"/>
      <c r="D440" s="10" t="n"/>
      <c r="E440" s="10" t="n"/>
      <c r="F440" s="9" t="n"/>
      <c r="G440" s="10" t="n"/>
      <c r="H440" s="10" t="n"/>
      <c r="I440" s="11" t="n"/>
      <c r="J440" s="11" t="n"/>
      <c r="K440" s="12">
        <f>IF(A440="","",SUMIF(Sales!$C$2:$C$501,A440,Sales!$E$2:$E$501))</f>
        <v/>
      </c>
      <c r="L440" s="12">
        <f>IF(A440="","",H440-K440)</f>
        <v/>
      </c>
      <c r="M440" s="13">
        <f>IF(A440="","",ROUND(L440*I440,2))</f>
        <v/>
      </c>
      <c r="N440" s="13">
        <f>IF(A440="","",ROUND(L440*J440,2))</f>
        <v/>
      </c>
      <c r="O440" s="10" t="n"/>
      <c r="P440" s="12">
        <f>IF(A440="","",IF(COUNTIF($A$2:$A$501,A440)&gt;1,"Duplicate lot ID",IF(OR(B440="",H440="",I440="",J440=""),"Complete required fields",IF(L440&lt;0,"OVER SOLD","OK"))))</f>
        <v/>
      </c>
    </row>
    <row r="441" ht="23" customHeight="1">
      <c r="A441" s="14" t="n"/>
      <c r="B441" s="15" t="n"/>
      <c r="C441" s="15" t="n"/>
      <c r="D441" s="15" t="n"/>
      <c r="E441" s="15" t="n"/>
      <c r="F441" s="14" t="n"/>
      <c r="G441" s="15" t="n"/>
      <c r="H441" s="15" t="n"/>
      <c r="I441" s="16" t="n"/>
      <c r="J441" s="16" t="n"/>
      <c r="K441" s="12">
        <f>IF(A441="","",SUMIF(Sales!$C$2:$C$501,A441,Sales!$E$2:$E$501))</f>
        <v/>
      </c>
      <c r="L441" s="12">
        <f>IF(A441="","",H441-K441)</f>
        <v/>
      </c>
      <c r="M441" s="13">
        <f>IF(A441="","",ROUND(L441*I441,2))</f>
        <v/>
      </c>
      <c r="N441" s="13">
        <f>IF(A441="","",ROUND(L441*J441,2))</f>
        <v/>
      </c>
      <c r="O441" s="15" t="n"/>
      <c r="P441" s="12">
        <f>IF(A441="","",IF(COUNTIF($A$2:$A$501,A441)&gt;1,"Duplicate lot ID",IF(OR(B441="",H441="",I441="",J441=""),"Complete required fields",IF(L441&lt;0,"OVER SOLD","OK"))))</f>
        <v/>
      </c>
    </row>
    <row r="442" ht="23" customHeight="1">
      <c r="A442" s="9" t="n"/>
      <c r="B442" s="10" t="n"/>
      <c r="C442" s="10" t="n"/>
      <c r="D442" s="10" t="n"/>
      <c r="E442" s="10" t="n"/>
      <c r="F442" s="9" t="n"/>
      <c r="G442" s="10" t="n"/>
      <c r="H442" s="10" t="n"/>
      <c r="I442" s="11" t="n"/>
      <c r="J442" s="11" t="n"/>
      <c r="K442" s="12">
        <f>IF(A442="","",SUMIF(Sales!$C$2:$C$501,A442,Sales!$E$2:$E$501))</f>
        <v/>
      </c>
      <c r="L442" s="12">
        <f>IF(A442="","",H442-K442)</f>
        <v/>
      </c>
      <c r="M442" s="13">
        <f>IF(A442="","",ROUND(L442*I442,2))</f>
        <v/>
      </c>
      <c r="N442" s="13">
        <f>IF(A442="","",ROUND(L442*J442,2))</f>
        <v/>
      </c>
      <c r="O442" s="10" t="n"/>
      <c r="P442" s="12">
        <f>IF(A442="","",IF(COUNTIF($A$2:$A$501,A442)&gt;1,"Duplicate lot ID",IF(OR(B442="",H442="",I442="",J442=""),"Complete required fields",IF(L442&lt;0,"OVER SOLD","OK"))))</f>
        <v/>
      </c>
    </row>
    <row r="443" ht="23" customHeight="1">
      <c r="A443" s="14" t="n"/>
      <c r="B443" s="15" t="n"/>
      <c r="C443" s="15" t="n"/>
      <c r="D443" s="15" t="n"/>
      <c r="E443" s="15" t="n"/>
      <c r="F443" s="14" t="n"/>
      <c r="G443" s="15" t="n"/>
      <c r="H443" s="15" t="n"/>
      <c r="I443" s="16" t="n"/>
      <c r="J443" s="16" t="n"/>
      <c r="K443" s="12">
        <f>IF(A443="","",SUMIF(Sales!$C$2:$C$501,A443,Sales!$E$2:$E$501))</f>
        <v/>
      </c>
      <c r="L443" s="12">
        <f>IF(A443="","",H443-K443)</f>
        <v/>
      </c>
      <c r="M443" s="13">
        <f>IF(A443="","",ROUND(L443*I443,2))</f>
        <v/>
      </c>
      <c r="N443" s="13">
        <f>IF(A443="","",ROUND(L443*J443,2))</f>
        <v/>
      </c>
      <c r="O443" s="15" t="n"/>
      <c r="P443" s="12">
        <f>IF(A443="","",IF(COUNTIF($A$2:$A$501,A443)&gt;1,"Duplicate lot ID",IF(OR(B443="",H443="",I443="",J443=""),"Complete required fields",IF(L443&lt;0,"OVER SOLD","OK"))))</f>
        <v/>
      </c>
    </row>
    <row r="444" ht="23" customHeight="1">
      <c r="A444" s="9" t="n"/>
      <c r="B444" s="10" t="n"/>
      <c r="C444" s="10" t="n"/>
      <c r="D444" s="10" t="n"/>
      <c r="E444" s="10" t="n"/>
      <c r="F444" s="9" t="n"/>
      <c r="G444" s="10" t="n"/>
      <c r="H444" s="10" t="n"/>
      <c r="I444" s="11" t="n"/>
      <c r="J444" s="11" t="n"/>
      <c r="K444" s="12">
        <f>IF(A444="","",SUMIF(Sales!$C$2:$C$501,A444,Sales!$E$2:$E$501))</f>
        <v/>
      </c>
      <c r="L444" s="12">
        <f>IF(A444="","",H444-K444)</f>
        <v/>
      </c>
      <c r="M444" s="13">
        <f>IF(A444="","",ROUND(L444*I444,2))</f>
        <v/>
      </c>
      <c r="N444" s="13">
        <f>IF(A444="","",ROUND(L444*J444,2))</f>
        <v/>
      </c>
      <c r="O444" s="10" t="n"/>
      <c r="P444" s="12">
        <f>IF(A444="","",IF(COUNTIF($A$2:$A$501,A444)&gt;1,"Duplicate lot ID",IF(OR(B444="",H444="",I444="",J444=""),"Complete required fields",IF(L444&lt;0,"OVER SOLD","OK"))))</f>
        <v/>
      </c>
    </row>
    <row r="445" ht="23" customHeight="1">
      <c r="A445" s="14" t="n"/>
      <c r="B445" s="15" t="n"/>
      <c r="C445" s="15" t="n"/>
      <c r="D445" s="15" t="n"/>
      <c r="E445" s="15" t="n"/>
      <c r="F445" s="14" t="n"/>
      <c r="G445" s="15" t="n"/>
      <c r="H445" s="15" t="n"/>
      <c r="I445" s="16" t="n"/>
      <c r="J445" s="16" t="n"/>
      <c r="K445" s="12">
        <f>IF(A445="","",SUMIF(Sales!$C$2:$C$501,A445,Sales!$E$2:$E$501))</f>
        <v/>
      </c>
      <c r="L445" s="12">
        <f>IF(A445="","",H445-K445)</f>
        <v/>
      </c>
      <c r="M445" s="13">
        <f>IF(A445="","",ROUND(L445*I445,2))</f>
        <v/>
      </c>
      <c r="N445" s="13">
        <f>IF(A445="","",ROUND(L445*J445,2))</f>
        <v/>
      </c>
      <c r="O445" s="15" t="n"/>
      <c r="P445" s="12">
        <f>IF(A445="","",IF(COUNTIF($A$2:$A$501,A445)&gt;1,"Duplicate lot ID",IF(OR(B445="",H445="",I445="",J445=""),"Complete required fields",IF(L445&lt;0,"OVER SOLD","OK"))))</f>
        <v/>
      </c>
    </row>
    <row r="446" ht="23" customHeight="1">
      <c r="A446" s="9" t="n"/>
      <c r="B446" s="10" t="n"/>
      <c r="C446" s="10" t="n"/>
      <c r="D446" s="10" t="n"/>
      <c r="E446" s="10" t="n"/>
      <c r="F446" s="9" t="n"/>
      <c r="G446" s="10" t="n"/>
      <c r="H446" s="10" t="n"/>
      <c r="I446" s="11" t="n"/>
      <c r="J446" s="11" t="n"/>
      <c r="K446" s="12">
        <f>IF(A446="","",SUMIF(Sales!$C$2:$C$501,A446,Sales!$E$2:$E$501))</f>
        <v/>
      </c>
      <c r="L446" s="12">
        <f>IF(A446="","",H446-K446)</f>
        <v/>
      </c>
      <c r="M446" s="13">
        <f>IF(A446="","",ROUND(L446*I446,2))</f>
        <v/>
      </c>
      <c r="N446" s="13">
        <f>IF(A446="","",ROUND(L446*J446,2))</f>
        <v/>
      </c>
      <c r="O446" s="10" t="n"/>
      <c r="P446" s="12">
        <f>IF(A446="","",IF(COUNTIF($A$2:$A$501,A446)&gt;1,"Duplicate lot ID",IF(OR(B446="",H446="",I446="",J446=""),"Complete required fields",IF(L446&lt;0,"OVER SOLD","OK"))))</f>
        <v/>
      </c>
    </row>
    <row r="447" ht="23" customHeight="1">
      <c r="A447" s="14" t="n"/>
      <c r="B447" s="15" t="n"/>
      <c r="C447" s="15" t="n"/>
      <c r="D447" s="15" t="n"/>
      <c r="E447" s="15" t="n"/>
      <c r="F447" s="14" t="n"/>
      <c r="G447" s="15" t="n"/>
      <c r="H447" s="15" t="n"/>
      <c r="I447" s="16" t="n"/>
      <c r="J447" s="16" t="n"/>
      <c r="K447" s="12">
        <f>IF(A447="","",SUMIF(Sales!$C$2:$C$501,A447,Sales!$E$2:$E$501))</f>
        <v/>
      </c>
      <c r="L447" s="12">
        <f>IF(A447="","",H447-K447)</f>
        <v/>
      </c>
      <c r="M447" s="13">
        <f>IF(A447="","",ROUND(L447*I447,2))</f>
        <v/>
      </c>
      <c r="N447" s="13">
        <f>IF(A447="","",ROUND(L447*J447,2))</f>
        <v/>
      </c>
      <c r="O447" s="15" t="n"/>
      <c r="P447" s="12">
        <f>IF(A447="","",IF(COUNTIF($A$2:$A$501,A447)&gt;1,"Duplicate lot ID",IF(OR(B447="",H447="",I447="",J447=""),"Complete required fields",IF(L447&lt;0,"OVER SOLD","OK"))))</f>
        <v/>
      </c>
    </row>
    <row r="448" ht="23" customHeight="1">
      <c r="A448" s="9" t="n"/>
      <c r="B448" s="10" t="n"/>
      <c r="C448" s="10" t="n"/>
      <c r="D448" s="10" t="n"/>
      <c r="E448" s="10" t="n"/>
      <c r="F448" s="9" t="n"/>
      <c r="G448" s="10" t="n"/>
      <c r="H448" s="10" t="n"/>
      <c r="I448" s="11" t="n"/>
      <c r="J448" s="11" t="n"/>
      <c r="K448" s="12">
        <f>IF(A448="","",SUMIF(Sales!$C$2:$C$501,A448,Sales!$E$2:$E$501))</f>
        <v/>
      </c>
      <c r="L448" s="12">
        <f>IF(A448="","",H448-K448)</f>
        <v/>
      </c>
      <c r="M448" s="13">
        <f>IF(A448="","",ROUND(L448*I448,2))</f>
        <v/>
      </c>
      <c r="N448" s="13">
        <f>IF(A448="","",ROUND(L448*J448,2))</f>
        <v/>
      </c>
      <c r="O448" s="10" t="n"/>
      <c r="P448" s="12">
        <f>IF(A448="","",IF(COUNTIF($A$2:$A$501,A448)&gt;1,"Duplicate lot ID",IF(OR(B448="",H448="",I448="",J448=""),"Complete required fields",IF(L448&lt;0,"OVER SOLD","OK"))))</f>
        <v/>
      </c>
    </row>
    <row r="449" ht="23" customHeight="1">
      <c r="A449" s="14" t="n"/>
      <c r="B449" s="15" t="n"/>
      <c r="C449" s="15" t="n"/>
      <c r="D449" s="15" t="n"/>
      <c r="E449" s="15" t="n"/>
      <c r="F449" s="14" t="n"/>
      <c r="G449" s="15" t="n"/>
      <c r="H449" s="15" t="n"/>
      <c r="I449" s="16" t="n"/>
      <c r="J449" s="16" t="n"/>
      <c r="K449" s="12">
        <f>IF(A449="","",SUMIF(Sales!$C$2:$C$501,A449,Sales!$E$2:$E$501))</f>
        <v/>
      </c>
      <c r="L449" s="12">
        <f>IF(A449="","",H449-K449)</f>
        <v/>
      </c>
      <c r="M449" s="13">
        <f>IF(A449="","",ROUND(L449*I449,2))</f>
        <v/>
      </c>
      <c r="N449" s="13">
        <f>IF(A449="","",ROUND(L449*J449,2))</f>
        <v/>
      </c>
      <c r="O449" s="15" t="n"/>
      <c r="P449" s="12">
        <f>IF(A449="","",IF(COUNTIF($A$2:$A$501,A449)&gt;1,"Duplicate lot ID",IF(OR(B449="",H449="",I449="",J449=""),"Complete required fields",IF(L449&lt;0,"OVER SOLD","OK"))))</f>
        <v/>
      </c>
    </row>
    <row r="450" ht="23" customHeight="1">
      <c r="A450" s="9" t="n"/>
      <c r="B450" s="10" t="n"/>
      <c r="C450" s="10" t="n"/>
      <c r="D450" s="10" t="n"/>
      <c r="E450" s="10" t="n"/>
      <c r="F450" s="9" t="n"/>
      <c r="G450" s="10" t="n"/>
      <c r="H450" s="10" t="n"/>
      <c r="I450" s="11" t="n"/>
      <c r="J450" s="11" t="n"/>
      <c r="K450" s="12">
        <f>IF(A450="","",SUMIF(Sales!$C$2:$C$501,A450,Sales!$E$2:$E$501))</f>
        <v/>
      </c>
      <c r="L450" s="12">
        <f>IF(A450="","",H450-K450)</f>
        <v/>
      </c>
      <c r="M450" s="13">
        <f>IF(A450="","",ROUND(L450*I450,2))</f>
        <v/>
      </c>
      <c r="N450" s="13">
        <f>IF(A450="","",ROUND(L450*J450,2))</f>
        <v/>
      </c>
      <c r="O450" s="10" t="n"/>
      <c r="P450" s="12">
        <f>IF(A450="","",IF(COUNTIF($A$2:$A$501,A450)&gt;1,"Duplicate lot ID",IF(OR(B450="",H450="",I450="",J450=""),"Complete required fields",IF(L450&lt;0,"OVER SOLD","OK"))))</f>
        <v/>
      </c>
    </row>
    <row r="451" ht="23" customHeight="1">
      <c r="A451" s="14" t="n"/>
      <c r="B451" s="15" t="n"/>
      <c r="C451" s="15" t="n"/>
      <c r="D451" s="15" t="n"/>
      <c r="E451" s="15" t="n"/>
      <c r="F451" s="14" t="n"/>
      <c r="G451" s="15" t="n"/>
      <c r="H451" s="15" t="n"/>
      <c r="I451" s="16" t="n"/>
      <c r="J451" s="16" t="n"/>
      <c r="K451" s="12">
        <f>IF(A451="","",SUMIF(Sales!$C$2:$C$501,A451,Sales!$E$2:$E$501))</f>
        <v/>
      </c>
      <c r="L451" s="12">
        <f>IF(A451="","",H451-K451)</f>
        <v/>
      </c>
      <c r="M451" s="13">
        <f>IF(A451="","",ROUND(L451*I451,2))</f>
        <v/>
      </c>
      <c r="N451" s="13">
        <f>IF(A451="","",ROUND(L451*J451,2))</f>
        <v/>
      </c>
      <c r="O451" s="15" t="n"/>
      <c r="P451" s="12">
        <f>IF(A451="","",IF(COUNTIF($A$2:$A$501,A451)&gt;1,"Duplicate lot ID",IF(OR(B451="",H451="",I451="",J451=""),"Complete required fields",IF(L451&lt;0,"OVER SOLD","OK"))))</f>
        <v/>
      </c>
    </row>
    <row r="452" ht="23" customHeight="1">
      <c r="A452" s="9" t="n"/>
      <c r="B452" s="10" t="n"/>
      <c r="C452" s="10" t="n"/>
      <c r="D452" s="10" t="n"/>
      <c r="E452" s="10" t="n"/>
      <c r="F452" s="9" t="n"/>
      <c r="G452" s="10" t="n"/>
      <c r="H452" s="10" t="n"/>
      <c r="I452" s="11" t="n"/>
      <c r="J452" s="11" t="n"/>
      <c r="K452" s="12">
        <f>IF(A452="","",SUMIF(Sales!$C$2:$C$501,A452,Sales!$E$2:$E$501))</f>
        <v/>
      </c>
      <c r="L452" s="12">
        <f>IF(A452="","",H452-K452)</f>
        <v/>
      </c>
      <c r="M452" s="13">
        <f>IF(A452="","",ROUND(L452*I452,2))</f>
        <v/>
      </c>
      <c r="N452" s="13">
        <f>IF(A452="","",ROUND(L452*J452,2))</f>
        <v/>
      </c>
      <c r="O452" s="10" t="n"/>
      <c r="P452" s="12">
        <f>IF(A452="","",IF(COUNTIF($A$2:$A$501,A452)&gt;1,"Duplicate lot ID",IF(OR(B452="",H452="",I452="",J452=""),"Complete required fields",IF(L452&lt;0,"OVER SOLD","OK"))))</f>
        <v/>
      </c>
    </row>
    <row r="453" ht="23" customHeight="1">
      <c r="A453" s="14" t="n"/>
      <c r="B453" s="15" t="n"/>
      <c r="C453" s="15" t="n"/>
      <c r="D453" s="15" t="n"/>
      <c r="E453" s="15" t="n"/>
      <c r="F453" s="14" t="n"/>
      <c r="G453" s="15" t="n"/>
      <c r="H453" s="15" t="n"/>
      <c r="I453" s="16" t="n"/>
      <c r="J453" s="16" t="n"/>
      <c r="K453" s="12">
        <f>IF(A453="","",SUMIF(Sales!$C$2:$C$501,A453,Sales!$E$2:$E$501))</f>
        <v/>
      </c>
      <c r="L453" s="12">
        <f>IF(A453="","",H453-K453)</f>
        <v/>
      </c>
      <c r="M453" s="13">
        <f>IF(A453="","",ROUND(L453*I453,2))</f>
        <v/>
      </c>
      <c r="N453" s="13">
        <f>IF(A453="","",ROUND(L453*J453,2))</f>
        <v/>
      </c>
      <c r="O453" s="15" t="n"/>
      <c r="P453" s="12">
        <f>IF(A453="","",IF(COUNTIF($A$2:$A$501,A453)&gt;1,"Duplicate lot ID",IF(OR(B453="",H453="",I453="",J453=""),"Complete required fields",IF(L453&lt;0,"OVER SOLD","OK"))))</f>
        <v/>
      </c>
    </row>
    <row r="454" ht="23" customHeight="1">
      <c r="A454" s="9" t="n"/>
      <c r="B454" s="10" t="n"/>
      <c r="C454" s="10" t="n"/>
      <c r="D454" s="10" t="n"/>
      <c r="E454" s="10" t="n"/>
      <c r="F454" s="9" t="n"/>
      <c r="G454" s="10" t="n"/>
      <c r="H454" s="10" t="n"/>
      <c r="I454" s="11" t="n"/>
      <c r="J454" s="11" t="n"/>
      <c r="K454" s="12">
        <f>IF(A454="","",SUMIF(Sales!$C$2:$C$501,A454,Sales!$E$2:$E$501))</f>
        <v/>
      </c>
      <c r="L454" s="12">
        <f>IF(A454="","",H454-K454)</f>
        <v/>
      </c>
      <c r="M454" s="13">
        <f>IF(A454="","",ROUND(L454*I454,2))</f>
        <v/>
      </c>
      <c r="N454" s="13">
        <f>IF(A454="","",ROUND(L454*J454,2))</f>
        <v/>
      </c>
      <c r="O454" s="10" t="n"/>
      <c r="P454" s="12">
        <f>IF(A454="","",IF(COUNTIF($A$2:$A$501,A454)&gt;1,"Duplicate lot ID",IF(OR(B454="",H454="",I454="",J454=""),"Complete required fields",IF(L454&lt;0,"OVER SOLD","OK"))))</f>
        <v/>
      </c>
    </row>
    <row r="455" ht="23" customHeight="1">
      <c r="A455" s="14" t="n"/>
      <c r="B455" s="15" t="n"/>
      <c r="C455" s="15" t="n"/>
      <c r="D455" s="15" t="n"/>
      <c r="E455" s="15" t="n"/>
      <c r="F455" s="14" t="n"/>
      <c r="G455" s="15" t="n"/>
      <c r="H455" s="15" t="n"/>
      <c r="I455" s="16" t="n"/>
      <c r="J455" s="16" t="n"/>
      <c r="K455" s="12">
        <f>IF(A455="","",SUMIF(Sales!$C$2:$C$501,A455,Sales!$E$2:$E$501))</f>
        <v/>
      </c>
      <c r="L455" s="12">
        <f>IF(A455="","",H455-K455)</f>
        <v/>
      </c>
      <c r="M455" s="13">
        <f>IF(A455="","",ROUND(L455*I455,2))</f>
        <v/>
      </c>
      <c r="N455" s="13">
        <f>IF(A455="","",ROUND(L455*J455,2))</f>
        <v/>
      </c>
      <c r="O455" s="15" t="n"/>
      <c r="P455" s="12">
        <f>IF(A455="","",IF(COUNTIF($A$2:$A$501,A455)&gt;1,"Duplicate lot ID",IF(OR(B455="",H455="",I455="",J455=""),"Complete required fields",IF(L455&lt;0,"OVER SOLD","OK"))))</f>
        <v/>
      </c>
    </row>
    <row r="456" ht="23" customHeight="1">
      <c r="A456" s="9" t="n"/>
      <c r="B456" s="10" t="n"/>
      <c r="C456" s="10" t="n"/>
      <c r="D456" s="10" t="n"/>
      <c r="E456" s="10" t="n"/>
      <c r="F456" s="9" t="n"/>
      <c r="G456" s="10" t="n"/>
      <c r="H456" s="10" t="n"/>
      <c r="I456" s="11" t="n"/>
      <c r="J456" s="11" t="n"/>
      <c r="K456" s="12">
        <f>IF(A456="","",SUMIF(Sales!$C$2:$C$501,A456,Sales!$E$2:$E$501))</f>
        <v/>
      </c>
      <c r="L456" s="12">
        <f>IF(A456="","",H456-K456)</f>
        <v/>
      </c>
      <c r="M456" s="13">
        <f>IF(A456="","",ROUND(L456*I456,2))</f>
        <v/>
      </c>
      <c r="N456" s="13">
        <f>IF(A456="","",ROUND(L456*J456,2))</f>
        <v/>
      </c>
      <c r="O456" s="10" t="n"/>
      <c r="P456" s="12">
        <f>IF(A456="","",IF(COUNTIF($A$2:$A$501,A456)&gt;1,"Duplicate lot ID",IF(OR(B456="",H456="",I456="",J456=""),"Complete required fields",IF(L456&lt;0,"OVER SOLD","OK"))))</f>
        <v/>
      </c>
    </row>
    <row r="457" ht="23" customHeight="1">
      <c r="A457" s="14" t="n"/>
      <c r="B457" s="15" t="n"/>
      <c r="C457" s="15" t="n"/>
      <c r="D457" s="15" t="n"/>
      <c r="E457" s="15" t="n"/>
      <c r="F457" s="14" t="n"/>
      <c r="G457" s="15" t="n"/>
      <c r="H457" s="15" t="n"/>
      <c r="I457" s="16" t="n"/>
      <c r="J457" s="16" t="n"/>
      <c r="K457" s="12">
        <f>IF(A457="","",SUMIF(Sales!$C$2:$C$501,A457,Sales!$E$2:$E$501))</f>
        <v/>
      </c>
      <c r="L457" s="12">
        <f>IF(A457="","",H457-K457)</f>
        <v/>
      </c>
      <c r="M457" s="13">
        <f>IF(A457="","",ROUND(L457*I457,2))</f>
        <v/>
      </c>
      <c r="N457" s="13">
        <f>IF(A457="","",ROUND(L457*J457,2))</f>
        <v/>
      </c>
      <c r="O457" s="15" t="n"/>
      <c r="P457" s="12">
        <f>IF(A457="","",IF(COUNTIF($A$2:$A$501,A457)&gt;1,"Duplicate lot ID",IF(OR(B457="",H457="",I457="",J457=""),"Complete required fields",IF(L457&lt;0,"OVER SOLD","OK"))))</f>
        <v/>
      </c>
    </row>
    <row r="458" ht="23" customHeight="1">
      <c r="A458" s="9" t="n"/>
      <c r="B458" s="10" t="n"/>
      <c r="C458" s="10" t="n"/>
      <c r="D458" s="10" t="n"/>
      <c r="E458" s="10" t="n"/>
      <c r="F458" s="9" t="n"/>
      <c r="G458" s="10" t="n"/>
      <c r="H458" s="10" t="n"/>
      <c r="I458" s="11" t="n"/>
      <c r="J458" s="11" t="n"/>
      <c r="K458" s="12">
        <f>IF(A458="","",SUMIF(Sales!$C$2:$C$501,A458,Sales!$E$2:$E$501))</f>
        <v/>
      </c>
      <c r="L458" s="12">
        <f>IF(A458="","",H458-K458)</f>
        <v/>
      </c>
      <c r="M458" s="13">
        <f>IF(A458="","",ROUND(L458*I458,2))</f>
        <v/>
      </c>
      <c r="N458" s="13">
        <f>IF(A458="","",ROUND(L458*J458,2))</f>
        <v/>
      </c>
      <c r="O458" s="10" t="n"/>
      <c r="P458" s="12">
        <f>IF(A458="","",IF(COUNTIF($A$2:$A$501,A458)&gt;1,"Duplicate lot ID",IF(OR(B458="",H458="",I458="",J458=""),"Complete required fields",IF(L458&lt;0,"OVER SOLD","OK"))))</f>
        <v/>
      </c>
    </row>
    <row r="459" ht="23" customHeight="1">
      <c r="A459" s="14" t="n"/>
      <c r="B459" s="15" t="n"/>
      <c r="C459" s="15" t="n"/>
      <c r="D459" s="15" t="n"/>
      <c r="E459" s="15" t="n"/>
      <c r="F459" s="14" t="n"/>
      <c r="G459" s="15" t="n"/>
      <c r="H459" s="15" t="n"/>
      <c r="I459" s="16" t="n"/>
      <c r="J459" s="16" t="n"/>
      <c r="K459" s="12">
        <f>IF(A459="","",SUMIF(Sales!$C$2:$C$501,A459,Sales!$E$2:$E$501))</f>
        <v/>
      </c>
      <c r="L459" s="12">
        <f>IF(A459="","",H459-K459)</f>
        <v/>
      </c>
      <c r="M459" s="13">
        <f>IF(A459="","",ROUND(L459*I459,2))</f>
        <v/>
      </c>
      <c r="N459" s="13">
        <f>IF(A459="","",ROUND(L459*J459,2))</f>
        <v/>
      </c>
      <c r="O459" s="15" t="n"/>
      <c r="P459" s="12">
        <f>IF(A459="","",IF(COUNTIF($A$2:$A$501,A459)&gt;1,"Duplicate lot ID",IF(OR(B459="",H459="",I459="",J459=""),"Complete required fields",IF(L459&lt;0,"OVER SOLD","OK"))))</f>
        <v/>
      </c>
    </row>
    <row r="460" ht="23" customHeight="1">
      <c r="A460" s="9" t="n"/>
      <c r="B460" s="10" t="n"/>
      <c r="C460" s="10" t="n"/>
      <c r="D460" s="10" t="n"/>
      <c r="E460" s="10" t="n"/>
      <c r="F460" s="9" t="n"/>
      <c r="G460" s="10" t="n"/>
      <c r="H460" s="10" t="n"/>
      <c r="I460" s="11" t="n"/>
      <c r="J460" s="11" t="n"/>
      <c r="K460" s="12">
        <f>IF(A460="","",SUMIF(Sales!$C$2:$C$501,A460,Sales!$E$2:$E$501))</f>
        <v/>
      </c>
      <c r="L460" s="12">
        <f>IF(A460="","",H460-K460)</f>
        <v/>
      </c>
      <c r="M460" s="13">
        <f>IF(A460="","",ROUND(L460*I460,2))</f>
        <v/>
      </c>
      <c r="N460" s="13">
        <f>IF(A460="","",ROUND(L460*J460,2))</f>
        <v/>
      </c>
      <c r="O460" s="10" t="n"/>
      <c r="P460" s="12">
        <f>IF(A460="","",IF(COUNTIF($A$2:$A$501,A460)&gt;1,"Duplicate lot ID",IF(OR(B460="",H460="",I460="",J460=""),"Complete required fields",IF(L460&lt;0,"OVER SOLD","OK"))))</f>
        <v/>
      </c>
    </row>
    <row r="461" ht="23" customHeight="1">
      <c r="A461" s="14" t="n"/>
      <c r="B461" s="15" t="n"/>
      <c r="C461" s="15" t="n"/>
      <c r="D461" s="15" t="n"/>
      <c r="E461" s="15" t="n"/>
      <c r="F461" s="14" t="n"/>
      <c r="G461" s="15" t="n"/>
      <c r="H461" s="15" t="n"/>
      <c r="I461" s="16" t="n"/>
      <c r="J461" s="16" t="n"/>
      <c r="K461" s="12">
        <f>IF(A461="","",SUMIF(Sales!$C$2:$C$501,A461,Sales!$E$2:$E$501))</f>
        <v/>
      </c>
      <c r="L461" s="12">
        <f>IF(A461="","",H461-K461)</f>
        <v/>
      </c>
      <c r="M461" s="13">
        <f>IF(A461="","",ROUND(L461*I461,2))</f>
        <v/>
      </c>
      <c r="N461" s="13">
        <f>IF(A461="","",ROUND(L461*J461,2))</f>
        <v/>
      </c>
      <c r="O461" s="15" t="n"/>
      <c r="P461" s="12">
        <f>IF(A461="","",IF(COUNTIF($A$2:$A$501,A461)&gt;1,"Duplicate lot ID",IF(OR(B461="",H461="",I461="",J461=""),"Complete required fields",IF(L461&lt;0,"OVER SOLD","OK"))))</f>
        <v/>
      </c>
    </row>
    <row r="462" ht="23" customHeight="1">
      <c r="A462" s="9" t="n"/>
      <c r="B462" s="10" t="n"/>
      <c r="C462" s="10" t="n"/>
      <c r="D462" s="10" t="n"/>
      <c r="E462" s="10" t="n"/>
      <c r="F462" s="9" t="n"/>
      <c r="G462" s="10" t="n"/>
      <c r="H462" s="10" t="n"/>
      <c r="I462" s="11" t="n"/>
      <c r="J462" s="11" t="n"/>
      <c r="K462" s="12">
        <f>IF(A462="","",SUMIF(Sales!$C$2:$C$501,A462,Sales!$E$2:$E$501))</f>
        <v/>
      </c>
      <c r="L462" s="12">
        <f>IF(A462="","",H462-K462)</f>
        <v/>
      </c>
      <c r="M462" s="13">
        <f>IF(A462="","",ROUND(L462*I462,2))</f>
        <v/>
      </c>
      <c r="N462" s="13">
        <f>IF(A462="","",ROUND(L462*J462,2))</f>
        <v/>
      </c>
      <c r="O462" s="10" t="n"/>
      <c r="P462" s="12">
        <f>IF(A462="","",IF(COUNTIF($A$2:$A$501,A462)&gt;1,"Duplicate lot ID",IF(OR(B462="",H462="",I462="",J462=""),"Complete required fields",IF(L462&lt;0,"OVER SOLD","OK"))))</f>
        <v/>
      </c>
    </row>
    <row r="463" ht="23" customHeight="1">
      <c r="A463" s="14" t="n"/>
      <c r="B463" s="15" t="n"/>
      <c r="C463" s="15" t="n"/>
      <c r="D463" s="15" t="n"/>
      <c r="E463" s="15" t="n"/>
      <c r="F463" s="14" t="n"/>
      <c r="G463" s="15" t="n"/>
      <c r="H463" s="15" t="n"/>
      <c r="I463" s="16" t="n"/>
      <c r="J463" s="16" t="n"/>
      <c r="K463" s="12">
        <f>IF(A463="","",SUMIF(Sales!$C$2:$C$501,A463,Sales!$E$2:$E$501))</f>
        <v/>
      </c>
      <c r="L463" s="12">
        <f>IF(A463="","",H463-K463)</f>
        <v/>
      </c>
      <c r="M463" s="13">
        <f>IF(A463="","",ROUND(L463*I463,2))</f>
        <v/>
      </c>
      <c r="N463" s="13">
        <f>IF(A463="","",ROUND(L463*J463,2))</f>
        <v/>
      </c>
      <c r="O463" s="15" t="n"/>
      <c r="P463" s="12">
        <f>IF(A463="","",IF(COUNTIF($A$2:$A$501,A463)&gt;1,"Duplicate lot ID",IF(OR(B463="",H463="",I463="",J463=""),"Complete required fields",IF(L463&lt;0,"OVER SOLD","OK"))))</f>
        <v/>
      </c>
    </row>
    <row r="464" ht="23" customHeight="1">
      <c r="A464" s="9" t="n"/>
      <c r="B464" s="10" t="n"/>
      <c r="C464" s="10" t="n"/>
      <c r="D464" s="10" t="n"/>
      <c r="E464" s="10" t="n"/>
      <c r="F464" s="9" t="n"/>
      <c r="G464" s="10" t="n"/>
      <c r="H464" s="10" t="n"/>
      <c r="I464" s="11" t="n"/>
      <c r="J464" s="11" t="n"/>
      <c r="K464" s="12">
        <f>IF(A464="","",SUMIF(Sales!$C$2:$C$501,A464,Sales!$E$2:$E$501))</f>
        <v/>
      </c>
      <c r="L464" s="12">
        <f>IF(A464="","",H464-K464)</f>
        <v/>
      </c>
      <c r="M464" s="13">
        <f>IF(A464="","",ROUND(L464*I464,2))</f>
        <v/>
      </c>
      <c r="N464" s="13">
        <f>IF(A464="","",ROUND(L464*J464,2))</f>
        <v/>
      </c>
      <c r="O464" s="10" t="n"/>
      <c r="P464" s="12">
        <f>IF(A464="","",IF(COUNTIF($A$2:$A$501,A464)&gt;1,"Duplicate lot ID",IF(OR(B464="",H464="",I464="",J464=""),"Complete required fields",IF(L464&lt;0,"OVER SOLD","OK"))))</f>
        <v/>
      </c>
    </row>
    <row r="465" ht="23" customHeight="1">
      <c r="A465" s="14" t="n"/>
      <c r="B465" s="15" t="n"/>
      <c r="C465" s="15" t="n"/>
      <c r="D465" s="15" t="n"/>
      <c r="E465" s="15" t="n"/>
      <c r="F465" s="14" t="n"/>
      <c r="G465" s="15" t="n"/>
      <c r="H465" s="15" t="n"/>
      <c r="I465" s="16" t="n"/>
      <c r="J465" s="16" t="n"/>
      <c r="K465" s="12">
        <f>IF(A465="","",SUMIF(Sales!$C$2:$C$501,A465,Sales!$E$2:$E$501))</f>
        <v/>
      </c>
      <c r="L465" s="12">
        <f>IF(A465="","",H465-K465)</f>
        <v/>
      </c>
      <c r="M465" s="13">
        <f>IF(A465="","",ROUND(L465*I465,2))</f>
        <v/>
      </c>
      <c r="N465" s="13">
        <f>IF(A465="","",ROUND(L465*J465,2))</f>
        <v/>
      </c>
      <c r="O465" s="15" t="n"/>
      <c r="P465" s="12">
        <f>IF(A465="","",IF(COUNTIF($A$2:$A$501,A465)&gt;1,"Duplicate lot ID",IF(OR(B465="",H465="",I465="",J465=""),"Complete required fields",IF(L465&lt;0,"OVER SOLD","OK"))))</f>
        <v/>
      </c>
    </row>
    <row r="466" ht="23" customHeight="1">
      <c r="A466" s="9" t="n"/>
      <c r="B466" s="10" t="n"/>
      <c r="C466" s="10" t="n"/>
      <c r="D466" s="10" t="n"/>
      <c r="E466" s="10" t="n"/>
      <c r="F466" s="9" t="n"/>
      <c r="G466" s="10" t="n"/>
      <c r="H466" s="10" t="n"/>
      <c r="I466" s="11" t="n"/>
      <c r="J466" s="11" t="n"/>
      <c r="K466" s="12">
        <f>IF(A466="","",SUMIF(Sales!$C$2:$C$501,A466,Sales!$E$2:$E$501))</f>
        <v/>
      </c>
      <c r="L466" s="12">
        <f>IF(A466="","",H466-K466)</f>
        <v/>
      </c>
      <c r="M466" s="13">
        <f>IF(A466="","",ROUND(L466*I466,2))</f>
        <v/>
      </c>
      <c r="N466" s="13">
        <f>IF(A466="","",ROUND(L466*J466,2))</f>
        <v/>
      </c>
      <c r="O466" s="10" t="n"/>
      <c r="P466" s="12">
        <f>IF(A466="","",IF(COUNTIF($A$2:$A$501,A466)&gt;1,"Duplicate lot ID",IF(OR(B466="",H466="",I466="",J466=""),"Complete required fields",IF(L466&lt;0,"OVER SOLD","OK"))))</f>
        <v/>
      </c>
    </row>
    <row r="467" ht="23" customHeight="1">
      <c r="A467" s="14" t="n"/>
      <c r="B467" s="15" t="n"/>
      <c r="C467" s="15" t="n"/>
      <c r="D467" s="15" t="n"/>
      <c r="E467" s="15" t="n"/>
      <c r="F467" s="14" t="n"/>
      <c r="G467" s="15" t="n"/>
      <c r="H467" s="15" t="n"/>
      <c r="I467" s="16" t="n"/>
      <c r="J467" s="16" t="n"/>
      <c r="K467" s="12">
        <f>IF(A467="","",SUMIF(Sales!$C$2:$C$501,A467,Sales!$E$2:$E$501))</f>
        <v/>
      </c>
      <c r="L467" s="12">
        <f>IF(A467="","",H467-K467)</f>
        <v/>
      </c>
      <c r="M467" s="13">
        <f>IF(A467="","",ROUND(L467*I467,2))</f>
        <v/>
      </c>
      <c r="N467" s="13">
        <f>IF(A467="","",ROUND(L467*J467,2))</f>
        <v/>
      </c>
      <c r="O467" s="15" t="n"/>
      <c r="P467" s="12">
        <f>IF(A467="","",IF(COUNTIF($A$2:$A$501,A467)&gt;1,"Duplicate lot ID",IF(OR(B467="",H467="",I467="",J467=""),"Complete required fields",IF(L467&lt;0,"OVER SOLD","OK"))))</f>
        <v/>
      </c>
    </row>
    <row r="468" ht="23" customHeight="1">
      <c r="A468" s="9" t="n"/>
      <c r="B468" s="10" t="n"/>
      <c r="C468" s="10" t="n"/>
      <c r="D468" s="10" t="n"/>
      <c r="E468" s="10" t="n"/>
      <c r="F468" s="9" t="n"/>
      <c r="G468" s="10" t="n"/>
      <c r="H468" s="10" t="n"/>
      <c r="I468" s="11" t="n"/>
      <c r="J468" s="11" t="n"/>
      <c r="K468" s="12">
        <f>IF(A468="","",SUMIF(Sales!$C$2:$C$501,A468,Sales!$E$2:$E$501))</f>
        <v/>
      </c>
      <c r="L468" s="12">
        <f>IF(A468="","",H468-K468)</f>
        <v/>
      </c>
      <c r="M468" s="13">
        <f>IF(A468="","",ROUND(L468*I468,2))</f>
        <v/>
      </c>
      <c r="N468" s="13">
        <f>IF(A468="","",ROUND(L468*J468,2))</f>
        <v/>
      </c>
      <c r="O468" s="10" t="n"/>
      <c r="P468" s="12">
        <f>IF(A468="","",IF(COUNTIF($A$2:$A$501,A468)&gt;1,"Duplicate lot ID",IF(OR(B468="",H468="",I468="",J468=""),"Complete required fields",IF(L468&lt;0,"OVER SOLD","OK"))))</f>
        <v/>
      </c>
    </row>
    <row r="469" ht="23" customHeight="1">
      <c r="A469" s="14" t="n"/>
      <c r="B469" s="15" t="n"/>
      <c r="C469" s="15" t="n"/>
      <c r="D469" s="15" t="n"/>
      <c r="E469" s="15" t="n"/>
      <c r="F469" s="14" t="n"/>
      <c r="G469" s="15" t="n"/>
      <c r="H469" s="15" t="n"/>
      <c r="I469" s="16" t="n"/>
      <c r="J469" s="16" t="n"/>
      <c r="K469" s="12">
        <f>IF(A469="","",SUMIF(Sales!$C$2:$C$501,A469,Sales!$E$2:$E$501))</f>
        <v/>
      </c>
      <c r="L469" s="12">
        <f>IF(A469="","",H469-K469)</f>
        <v/>
      </c>
      <c r="M469" s="13">
        <f>IF(A469="","",ROUND(L469*I469,2))</f>
        <v/>
      </c>
      <c r="N469" s="13">
        <f>IF(A469="","",ROUND(L469*J469,2))</f>
        <v/>
      </c>
      <c r="O469" s="15" t="n"/>
      <c r="P469" s="12">
        <f>IF(A469="","",IF(COUNTIF($A$2:$A$501,A469)&gt;1,"Duplicate lot ID",IF(OR(B469="",H469="",I469="",J469=""),"Complete required fields",IF(L469&lt;0,"OVER SOLD","OK"))))</f>
        <v/>
      </c>
    </row>
    <row r="470" ht="23" customHeight="1">
      <c r="A470" s="9" t="n"/>
      <c r="B470" s="10" t="n"/>
      <c r="C470" s="10" t="n"/>
      <c r="D470" s="10" t="n"/>
      <c r="E470" s="10" t="n"/>
      <c r="F470" s="9" t="n"/>
      <c r="G470" s="10" t="n"/>
      <c r="H470" s="10" t="n"/>
      <c r="I470" s="11" t="n"/>
      <c r="J470" s="11" t="n"/>
      <c r="K470" s="12">
        <f>IF(A470="","",SUMIF(Sales!$C$2:$C$501,A470,Sales!$E$2:$E$501))</f>
        <v/>
      </c>
      <c r="L470" s="12">
        <f>IF(A470="","",H470-K470)</f>
        <v/>
      </c>
      <c r="M470" s="13">
        <f>IF(A470="","",ROUND(L470*I470,2))</f>
        <v/>
      </c>
      <c r="N470" s="13">
        <f>IF(A470="","",ROUND(L470*J470,2))</f>
        <v/>
      </c>
      <c r="O470" s="10" t="n"/>
      <c r="P470" s="12">
        <f>IF(A470="","",IF(COUNTIF($A$2:$A$501,A470)&gt;1,"Duplicate lot ID",IF(OR(B470="",H470="",I470="",J470=""),"Complete required fields",IF(L470&lt;0,"OVER SOLD","OK"))))</f>
        <v/>
      </c>
    </row>
    <row r="471" ht="23" customHeight="1">
      <c r="A471" s="14" t="n"/>
      <c r="B471" s="15" t="n"/>
      <c r="C471" s="15" t="n"/>
      <c r="D471" s="15" t="n"/>
      <c r="E471" s="15" t="n"/>
      <c r="F471" s="14" t="n"/>
      <c r="G471" s="15" t="n"/>
      <c r="H471" s="15" t="n"/>
      <c r="I471" s="16" t="n"/>
      <c r="J471" s="16" t="n"/>
      <c r="K471" s="12">
        <f>IF(A471="","",SUMIF(Sales!$C$2:$C$501,A471,Sales!$E$2:$E$501))</f>
        <v/>
      </c>
      <c r="L471" s="12">
        <f>IF(A471="","",H471-K471)</f>
        <v/>
      </c>
      <c r="M471" s="13">
        <f>IF(A471="","",ROUND(L471*I471,2))</f>
        <v/>
      </c>
      <c r="N471" s="13">
        <f>IF(A471="","",ROUND(L471*J471,2))</f>
        <v/>
      </c>
      <c r="O471" s="15" t="n"/>
      <c r="P471" s="12">
        <f>IF(A471="","",IF(COUNTIF($A$2:$A$501,A471)&gt;1,"Duplicate lot ID",IF(OR(B471="",H471="",I471="",J471=""),"Complete required fields",IF(L471&lt;0,"OVER SOLD","OK"))))</f>
        <v/>
      </c>
    </row>
    <row r="472" ht="23" customHeight="1">
      <c r="A472" s="9" t="n"/>
      <c r="B472" s="10" t="n"/>
      <c r="C472" s="10" t="n"/>
      <c r="D472" s="10" t="n"/>
      <c r="E472" s="10" t="n"/>
      <c r="F472" s="9" t="n"/>
      <c r="G472" s="10" t="n"/>
      <c r="H472" s="10" t="n"/>
      <c r="I472" s="11" t="n"/>
      <c r="J472" s="11" t="n"/>
      <c r="K472" s="12">
        <f>IF(A472="","",SUMIF(Sales!$C$2:$C$501,A472,Sales!$E$2:$E$501))</f>
        <v/>
      </c>
      <c r="L472" s="12">
        <f>IF(A472="","",H472-K472)</f>
        <v/>
      </c>
      <c r="M472" s="13">
        <f>IF(A472="","",ROUND(L472*I472,2))</f>
        <v/>
      </c>
      <c r="N472" s="13">
        <f>IF(A472="","",ROUND(L472*J472,2))</f>
        <v/>
      </c>
      <c r="O472" s="10" t="n"/>
      <c r="P472" s="12">
        <f>IF(A472="","",IF(COUNTIF($A$2:$A$501,A472)&gt;1,"Duplicate lot ID",IF(OR(B472="",H472="",I472="",J472=""),"Complete required fields",IF(L472&lt;0,"OVER SOLD","OK"))))</f>
        <v/>
      </c>
    </row>
    <row r="473" ht="23" customHeight="1">
      <c r="A473" s="14" t="n"/>
      <c r="B473" s="15" t="n"/>
      <c r="C473" s="15" t="n"/>
      <c r="D473" s="15" t="n"/>
      <c r="E473" s="15" t="n"/>
      <c r="F473" s="14" t="n"/>
      <c r="G473" s="15" t="n"/>
      <c r="H473" s="15" t="n"/>
      <c r="I473" s="16" t="n"/>
      <c r="J473" s="16" t="n"/>
      <c r="K473" s="12">
        <f>IF(A473="","",SUMIF(Sales!$C$2:$C$501,A473,Sales!$E$2:$E$501))</f>
        <v/>
      </c>
      <c r="L473" s="12">
        <f>IF(A473="","",H473-K473)</f>
        <v/>
      </c>
      <c r="M473" s="13">
        <f>IF(A473="","",ROUND(L473*I473,2))</f>
        <v/>
      </c>
      <c r="N473" s="13">
        <f>IF(A473="","",ROUND(L473*J473,2))</f>
        <v/>
      </c>
      <c r="O473" s="15" t="n"/>
      <c r="P473" s="12">
        <f>IF(A473="","",IF(COUNTIF($A$2:$A$501,A473)&gt;1,"Duplicate lot ID",IF(OR(B473="",H473="",I473="",J473=""),"Complete required fields",IF(L473&lt;0,"OVER SOLD","OK"))))</f>
        <v/>
      </c>
    </row>
    <row r="474" ht="23" customHeight="1">
      <c r="A474" s="9" t="n"/>
      <c r="B474" s="10" t="n"/>
      <c r="C474" s="10" t="n"/>
      <c r="D474" s="10" t="n"/>
      <c r="E474" s="10" t="n"/>
      <c r="F474" s="9" t="n"/>
      <c r="G474" s="10" t="n"/>
      <c r="H474" s="10" t="n"/>
      <c r="I474" s="11" t="n"/>
      <c r="J474" s="11" t="n"/>
      <c r="K474" s="12">
        <f>IF(A474="","",SUMIF(Sales!$C$2:$C$501,A474,Sales!$E$2:$E$501))</f>
        <v/>
      </c>
      <c r="L474" s="12">
        <f>IF(A474="","",H474-K474)</f>
        <v/>
      </c>
      <c r="M474" s="13">
        <f>IF(A474="","",ROUND(L474*I474,2))</f>
        <v/>
      </c>
      <c r="N474" s="13">
        <f>IF(A474="","",ROUND(L474*J474,2))</f>
        <v/>
      </c>
      <c r="O474" s="10" t="n"/>
      <c r="P474" s="12">
        <f>IF(A474="","",IF(COUNTIF($A$2:$A$501,A474)&gt;1,"Duplicate lot ID",IF(OR(B474="",H474="",I474="",J474=""),"Complete required fields",IF(L474&lt;0,"OVER SOLD","OK"))))</f>
        <v/>
      </c>
    </row>
    <row r="475" ht="23" customHeight="1">
      <c r="A475" s="14" t="n"/>
      <c r="B475" s="15" t="n"/>
      <c r="C475" s="15" t="n"/>
      <c r="D475" s="15" t="n"/>
      <c r="E475" s="15" t="n"/>
      <c r="F475" s="14" t="n"/>
      <c r="G475" s="15" t="n"/>
      <c r="H475" s="15" t="n"/>
      <c r="I475" s="16" t="n"/>
      <c r="J475" s="16" t="n"/>
      <c r="K475" s="12">
        <f>IF(A475="","",SUMIF(Sales!$C$2:$C$501,A475,Sales!$E$2:$E$501))</f>
        <v/>
      </c>
      <c r="L475" s="12">
        <f>IF(A475="","",H475-K475)</f>
        <v/>
      </c>
      <c r="M475" s="13">
        <f>IF(A475="","",ROUND(L475*I475,2))</f>
        <v/>
      </c>
      <c r="N475" s="13">
        <f>IF(A475="","",ROUND(L475*J475,2))</f>
        <v/>
      </c>
      <c r="O475" s="15" t="n"/>
      <c r="P475" s="12">
        <f>IF(A475="","",IF(COUNTIF($A$2:$A$501,A475)&gt;1,"Duplicate lot ID",IF(OR(B475="",H475="",I475="",J475=""),"Complete required fields",IF(L475&lt;0,"OVER SOLD","OK"))))</f>
        <v/>
      </c>
    </row>
    <row r="476" ht="23" customHeight="1">
      <c r="A476" s="9" t="n"/>
      <c r="B476" s="10" t="n"/>
      <c r="C476" s="10" t="n"/>
      <c r="D476" s="10" t="n"/>
      <c r="E476" s="10" t="n"/>
      <c r="F476" s="9" t="n"/>
      <c r="G476" s="10" t="n"/>
      <c r="H476" s="10" t="n"/>
      <c r="I476" s="11" t="n"/>
      <c r="J476" s="11" t="n"/>
      <c r="K476" s="12">
        <f>IF(A476="","",SUMIF(Sales!$C$2:$C$501,A476,Sales!$E$2:$E$501))</f>
        <v/>
      </c>
      <c r="L476" s="12">
        <f>IF(A476="","",H476-K476)</f>
        <v/>
      </c>
      <c r="M476" s="13">
        <f>IF(A476="","",ROUND(L476*I476,2))</f>
        <v/>
      </c>
      <c r="N476" s="13">
        <f>IF(A476="","",ROUND(L476*J476,2))</f>
        <v/>
      </c>
      <c r="O476" s="10" t="n"/>
      <c r="P476" s="12">
        <f>IF(A476="","",IF(COUNTIF($A$2:$A$501,A476)&gt;1,"Duplicate lot ID",IF(OR(B476="",H476="",I476="",J476=""),"Complete required fields",IF(L476&lt;0,"OVER SOLD","OK"))))</f>
        <v/>
      </c>
    </row>
    <row r="477" ht="23" customHeight="1">
      <c r="A477" s="14" t="n"/>
      <c r="B477" s="15" t="n"/>
      <c r="C477" s="15" t="n"/>
      <c r="D477" s="15" t="n"/>
      <c r="E477" s="15" t="n"/>
      <c r="F477" s="14" t="n"/>
      <c r="G477" s="15" t="n"/>
      <c r="H477" s="15" t="n"/>
      <c r="I477" s="16" t="n"/>
      <c r="J477" s="16" t="n"/>
      <c r="K477" s="12">
        <f>IF(A477="","",SUMIF(Sales!$C$2:$C$501,A477,Sales!$E$2:$E$501))</f>
        <v/>
      </c>
      <c r="L477" s="12">
        <f>IF(A477="","",H477-K477)</f>
        <v/>
      </c>
      <c r="M477" s="13">
        <f>IF(A477="","",ROUND(L477*I477,2))</f>
        <v/>
      </c>
      <c r="N477" s="13">
        <f>IF(A477="","",ROUND(L477*J477,2))</f>
        <v/>
      </c>
      <c r="O477" s="15" t="n"/>
      <c r="P477" s="12">
        <f>IF(A477="","",IF(COUNTIF($A$2:$A$501,A477)&gt;1,"Duplicate lot ID",IF(OR(B477="",H477="",I477="",J477=""),"Complete required fields",IF(L477&lt;0,"OVER SOLD","OK"))))</f>
        <v/>
      </c>
    </row>
    <row r="478" ht="23" customHeight="1">
      <c r="A478" s="9" t="n"/>
      <c r="B478" s="10" t="n"/>
      <c r="C478" s="10" t="n"/>
      <c r="D478" s="10" t="n"/>
      <c r="E478" s="10" t="n"/>
      <c r="F478" s="9" t="n"/>
      <c r="G478" s="10" t="n"/>
      <c r="H478" s="10" t="n"/>
      <c r="I478" s="11" t="n"/>
      <c r="J478" s="11" t="n"/>
      <c r="K478" s="12">
        <f>IF(A478="","",SUMIF(Sales!$C$2:$C$501,A478,Sales!$E$2:$E$501))</f>
        <v/>
      </c>
      <c r="L478" s="12">
        <f>IF(A478="","",H478-K478)</f>
        <v/>
      </c>
      <c r="M478" s="13">
        <f>IF(A478="","",ROUND(L478*I478,2))</f>
        <v/>
      </c>
      <c r="N478" s="13">
        <f>IF(A478="","",ROUND(L478*J478,2))</f>
        <v/>
      </c>
      <c r="O478" s="10" t="n"/>
      <c r="P478" s="12">
        <f>IF(A478="","",IF(COUNTIF($A$2:$A$501,A478)&gt;1,"Duplicate lot ID",IF(OR(B478="",H478="",I478="",J478=""),"Complete required fields",IF(L478&lt;0,"OVER SOLD","OK"))))</f>
        <v/>
      </c>
    </row>
    <row r="479" ht="23" customHeight="1">
      <c r="A479" s="14" t="n"/>
      <c r="B479" s="15" t="n"/>
      <c r="C479" s="15" t="n"/>
      <c r="D479" s="15" t="n"/>
      <c r="E479" s="15" t="n"/>
      <c r="F479" s="14" t="n"/>
      <c r="G479" s="15" t="n"/>
      <c r="H479" s="15" t="n"/>
      <c r="I479" s="16" t="n"/>
      <c r="J479" s="16" t="n"/>
      <c r="K479" s="12">
        <f>IF(A479="","",SUMIF(Sales!$C$2:$C$501,A479,Sales!$E$2:$E$501))</f>
        <v/>
      </c>
      <c r="L479" s="12">
        <f>IF(A479="","",H479-K479)</f>
        <v/>
      </c>
      <c r="M479" s="13">
        <f>IF(A479="","",ROUND(L479*I479,2))</f>
        <v/>
      </c>
      <c r="N479" s="13">
        <f>IF(A479="","",ROUND(L479*J479,2))</f>
        <v/>
      </c>
      <c r="O479" s="15" t="n"/>
      <c r="P479" s="12">
        <f>IF(A479="","",IF(COUNTIF($A$2:$A$501,A479)&gt;1,"Duplicate lot ID",IF(OR(B479="",H479="",I479="",J479=""),"Complete required fields",IF(L479&lt;0,"OVER SOLD","OK"))))</f>
        <v/>
      </c>
    </row>
    <row r="480" ht="23" customHeight="1">
      <c r="A480" s="9" t="n"/>
      <c r="B480" s="10" t="n"/>
      <c r="C480" s="10" t="n"/>
      <c r="D480" s="10" t="n"/>
      <c r="E480" s="10" t="n"/>
      <c r="F480" s="9" t="n"/>
      <c r="G480" s="10" t="n"/>
      <c r="H480" s="10" t="n"/>
      <c r="I480" s="11" t="n"/>
      <c r="J480" s="11" t="n"/>
      <c r="K480" s="12">
        <f>IF(A480="","",SUMIF(Sales!$C$2:$C$501,A480,Sales!$E$2:$E$501))</f>
        <v/>
      </c>
      <c r="L480" s="12">
        <f>IF(A480="","",H480-K480)</f>
        <v/>
      </c>
      <c r="M480" s="13">
        <f>IF(A480="","",ROUND(L480*I480,2))</f>
        <v/>
      </c>
      <c r="N480" s="13">
        <f>IF(A480="","",ROUND(L480*J480,2))</f>
        <v/>
      </c>
      <c r="O480" s="10" t="n"/>
      <c r="P480" s="12">
        <f>IF(A480="","",IF(COUNTIF($A$2:$A$501,A480)&gt;1,"Duplicate lot ID",IF(OR(B480="",H480="",I480="",J480=""),"Complete required fields",IF(L480&lt;0,"OVER SOLD","OK"))))</f>
        <v/>
      </c>
    </row>
    <row r="481" ht="23" customHeight="1">
      <c r="A481" s="14" t="n"/>
      <c r="B481" s="15" t="n"/>
      <c r="C481" s="15" t="n"/>
      <c r="D481" s="15" t="n"/>
      <c r="E481" s="15" t="n"/>
      <c r="F481" s="14" t="n"/>
      <c r="G481" s="15" t="n"/>
      <c r="H481" s="15" t="n"/>
      <c r="I481" s="16" t="n"/>
      <c r="J481" s="16" t="n"/>
      <c r="K481" s="12">
        <f>IF(A481="","",SUMIF(Sales!$C$2:$C$501,A481,Sales!$E$2:$E$501))</f>
        <v/>
      </c>
      <c r="L481" s="12">
        <f>IF(A481="","",H481-K481)</f>
        <v/>
      </c>
      <c r="M481" s="13">
        <f>IF(A481="","",ROUND(L481*I481,2))</f>
        <v/>
      </c>
      <c r="N481" s="13">
        <f>IF(A481="","",ROUND(L481*J481,2))</f>
        <v/>
      </c>
      <c r="O481" s="15" t="n"/>
      <c r="P481" s="12">
        <f>IF(A481="","",IF(COUNTIF($A$2:$A$501,A481)&gt;1,"Duplicate lot ID",IF(OR(B481="",H481="",I481="",J481=""),"Complete required fields",IF(L481&lt;0,"OVER SOLD","OK"))))</f>
        <v/>
      </c>
    </row>
    <row r="482" ht="23" customHeight="1">
      <c r="A482" s="9" t="n"/>
      <c r="B482" s="10" t="n"/>
      <c r="C482" s="10" t="n"/>
      <c r="D482" s="10" t="n"/>
      <c r="E482" s="10" t="n"/>
      <c r="F482" s="9" t="n"/>
      <c r="G482" s="10" t="n"/>
      <c r="H482" s="10" t="n"/>
      <c r="I482" s="11" t="n"/>
      <c r="J482" s="11" t="n"/>
      <c r="K482" s="12">
        <f>IF(A482="","",SUMIF(Sales!$C$2:$C$501,A482,Sales!$E$2:$E$501))</f>
        <v/>
      </c>
      <c r="L482" s="12">
        <f>IF(A482="","",H482-K482)</f>
        <v/>
      </c>
      <c r="M482" s="13">
        <f>IF(A482="","",ROUND(L482*I482,2))</f>
        <v/>
      </c>
      <c r="N482" s="13">
        <f>IF(A482="","",ROUND(L482*J482,2))</f>
        <v/>
      </c>
      <c r="O482" s="10" t="n"/>
      <c r="P482" s="12">
        <f>IF(A482="","",IF(COUNTIF($A$2:$A$501,A482)&gt;1,"Duplicate lot ID",IF(OR(B482="",H482="",I482="",J482=""),"Complete required fields",IF(L482&lt;0,"OVER SOLD","OK"))))</f>
        <v/>
      </c>
    </row>
    <row r="483" ht="23" customHeight="1">
      <c r="A483" s="14" t="n"/>
      <c r="B483" s="15" t="n"/>
      <c r="C483" s="15" t="n"/>
      <c r="D483" s="15" t="n"/>
      <c r="E483" s="15" t="n"/>
      <c r="F483" s="14" t="n"/>
      <c r="G483" s="15" t="n"/>
      <c r="H483" s="15" t="n"/>
      <c r="I483" s="16" t="n"/>
      <c r="J483" s="16" t="n"/>
      <c r="K483" s="12">
        <f>IF(A483="","",SUMIF(Sales!$C$2:$C$501,A483,Sales!$E$2:$E$501))</f>
        <v/>
      </c>
      <c r="L483" s="12">
        <f>IF(A483="","",H483-K483)</f>
        <v/>
      </c>
      <c r="M483" s="13">
        <f>IF(A483="","",ROUND(L483*I483,2))</f>
        <v/>
      </c>
      <c r="N483" s="13">
        <f>IF(A483="","",ROUND(L483*J483,2))</f>
        <v/>
      </c>
      <c r="O483" s="15" t="n"/>
      <c r="P483" s="12">
        <f>IF(A483="","",IF(COUNTIF($A$2:$A$501,A483)&gt;1,"Duplicate lot ID",IF(OR(B483="",H483="",I483="",J483=""),"Complete required fields",IF(L483&lt;0,"OVER SOLD","OK"))))</f>
        <v/>
      </c>
    </row>
    <row r="484" ht="23" customHeight="1">
      <c r="A484" s="9" t="n"/>
      <c r="B484" s="10" t="n"/>
      <c r="C484" s="10" t="n"/>
      <c r="D484" s="10" t="n"/>
      <c r="E484" s="10" t="n"/>
      <c r="F484" s="9" t="n"/>
      <c r="G484" s="10" t="n"/>
      <c r="H484" s="10" t="n"/>
      <c r="I484" s="11" t="n"/>
      <c r="J484" s="11" t="n"/>
      <c r="K484" s="12">
        <f>IF(A484="","",SUMIF(Sales!$C$2:$C$501,A484,Sales!$E$2:$E$501))</f>
        <v/>
      </c>
      <c r="L484" s="12">
        <f>IF(A484="","",H484-K484)</f>
        <v/>
      </c>
      <c r="M484" s="13">
        <f>IF(A484="","",ROUND(L484*I484,2))</f>
        <v/>
      </c>
      <c r="N484" s="13">
        <f>IF(A484="","",ROUND(L484*J484,2))</f>
        <v/>
      </c>
      <c r="O484" s="10" t="n"/>
      <c r="P484" s="12">
        <f>IF(A484="","",IF(COUNTIF($A$2:$A$501,A484)&gt;1,"Duplicate lot ID",IF(OR(B484="",H484="",I484="",J484=""),"Complete required fields",IF(L484&lt;0,"OVER SOLD","OK"))))</f>
        <v/>
      </c>
    </row>
    <row r="485" ht="23" customHeight="1">
      <c r="A485" s="14" t="n"/>
      <c r="B485" s="15" t="n"/>
      <c r="C485" s="15" t="n"/>
      <c r="D485" s="15" t="n"/>
      <c r="E485" s="15" t="n"/>
      <c r="F485" s="14" t="n"/>
      <c r="G485" s="15" t="n"/>
      <c r="H485" s="15" t="n"/>
      <c r="I485" s="16" t="n"/>
      <c r="J485" s="16" t="n"/>
      <c r="K485" s="12">
        <f>IF(A485="","",SUMIF(Sales!$C$2:$C$501,A485,Sales!$E$2:$E$501))</f>
        <v/>
      </c>
      <c r="L485" s="12">
        <f>IF(A485="","",H485-K485)</f>
        <v/>
      </c>
      <c r="M485" s="13">
        <f>IF(A485="","",ROUND(L485*I485,2))</f>
        <v/>
      </c>
      <c r="N485" s="13">
        <f>IF(A485="","",ROUND(L485*J485,2))</f>
        <v/>
      </c>
      <c r="O485" s="15" t="n"/>
      <c r="P485" s="12">
        <f>IF(A485="","",IF(COUNTIF($A$2:$A$501,A485)&gt;1,"Duplicate lot ID",IF(OR(B485="",H485="",I485="",J485=""),"Complete required fields",IF(L485&lt;0,"OVER SOLD","OK"))))</f>
        <v/>
      </c>
    </row>
    <row r="486" ht="23" customHeight="1">
      <c r="A486" s="9" t="n"/>
      <c r="B486" s="10" t="n"/>
      <c r="C486" s="10" t="n"/>
      <c r="D486" s="10" t="n"/>
      <c r="E486" s="10" t="n"/>
      <c r="F486" s="9" t="n"/>
      <c r="G486" s="10" t="n"/>
      <c r="H486" s="10" t="n"/>
      <c r="I486" s="11" t="n"/>
      <c r="J486" s="11" t="n"/>
      <c r="K486" s="12">
        <f>IF(A486="","",SUMIF(Sales!$C$2:$C$501,A486,Sales!$E$2:$E$501))</f>
        <v/>
      </c>
      <c r="L486" s="12">
        <f>IF(A486="","",H486-K486)</f>
        <v/>
      </c>
      <c r="M486" s="13">
        <f>IF(A486="","",ROUND(L486*I486,2))</f>
        <v/>
      </c>
      <c r="N486" s="13">
        <f>IF(A486="","",ROUND(L486*J486,2))</f>
        <v/>
      </c>
      <c r="O486" s="10" t="n"/>
      <c r="P486" s="12">
        <f>IF(A486="","",IF(COUNTIF($A$2:$A$501,A486)&gt;1,"Duplicate lot ID",IF(OR(B486="",H486="",I486="",J486=""),"Complete required fields",IF(L486&lt;0,"OVER SOLD","OK"))))</f>
        <v/>
      </c>
    </row>
    <row r="487" ht="23" customHeight="1">
      <c r="A487" s="14" t="n"/>
      <c r="B487" s="15" t="n"/>
      <c r="C487" s="15" t="n"/>
      <c r="D487" s="15" t="n"/>
      <c r="E487" s="15" t="n"/>
      <c r="F487" s="14" t="n"/>
      <c r="G487" s="15" t="n"/>
      <c r="H487" s="15" t="n"/>
      <c r="I487" s="16" t="n"/>
      <c r="J487" s="16" t="n"/>
      <c r="K487" s="12">
        <f>IF(A487="","",SUMIF(Sales!$C$2:$C$501,A487,Sales!$E$2:$E$501))</f>
        <v/>
      </c>
      <c r="L487" s="12">
        <f>IF(A487="","",H487-K487)</f>
        <v/>
      </c>
      <c r="M487" s="13">
        <f>IF(A487="","",ROUND(L487*I487,2))</f>
        <v/>
      </c>
      <c r="N487" s="13">
        <f>IF(A487="","",ROUND(L487*J487,2))</f>
        <v/>
      </c>
      <c r="O487" s="15" t="n"/>
      <c r="P487" s="12">
        <f>IF(A487="","",IF(COUNTIF($A$2:$A$501,A487)&gt;1,"Duplicate lot ID",IF(OR(B487="",H487="",I487="",J487=""),"Complete required fields",IF(L487&lt;0,"OVER SOLD","OK"))))</f>
        <v/>
      </c>
    </row>
    <row r="488" ht="23" customHeight="1">
      <c r="A488" s="9" t="n"/>
      <c r="B488" s="10" t="n"/>
      <c r="C488" s="10" t="n"/>
      <c r="D488" s="10" t="n"/>
      <c r="E488" s="10" t="n"/>
      <c r="F488" s="9" t="n"/>
      <c r="G488" s="10" t="n"/>
      <c r="H488" s="10" t="n"/>
      <c r="I488" s="11" t="n"/>
      <c r="J488" s="11" t="n"/>
      <c r="K488" s="12">
        <f>IF(A488="","",SUMIF(Sales!$C$2:$C$501,A488,Sales!$E$2:$E$501))</f>
        <v/>
      </c>
      <c r="L488" s="12">
        <f>IF(A488="","",H488-K488)</f>
        <v/>
      </c>
      <c r="M488" s="13">
        <f>IF(A488="","",ROUND(L488*I488,2))</f>
        <v/>
      </c>
      <c r="N488" s="13">
        <f>IF(A488="","",ROUND(L488*J488,2))</f>
        <v/>
      </c>
      <c r="O488" s="10" t="n"/>
      <c r="P488" s="12">
        <f>IF(A488="","",IF(COUNTIF($A$2:$A$501,A488)&gt;1,"Duplicate lot ID",IF(OR(B488="",H488="",I488="",J488=""),"Complete required fields",IF(L488&lt;0,"OVER SOLD","OK"))))</f>
        <v/>
      </c>
    </row>
    <row r="489" ht="23" customHeight="1">
      <c r="A489" s="14" t="n"/>
      <c r="B489" s="15" t="n"/>
      <c r="C489" s="15" t="n"/>
      <c r="D489" s="15" t="n"/>
      <c r="E489" s="15" t="n"/>
      <c r="F489" s="14" t="n"/>
      <c r="G489" s="15" t="n"/>
      <c r="H489" s="15" t="n"/>
      <c r="I489" s="16" t="n"/>
      <c r="J489" s="16" t="n"/>
      <c r="K489" s="12">
        <f>IF(A489="","",SUMIF(Sales!$C$2:$C$501,A489,Sales!$E$2:$E$501))</f>
        <v/>
      </c>
      <c r="L489" s="12">
        <f>IF(A489="","",H489-K489)</f>
        <v/>
      </c>
      <c r="M489" s="13">
        <f>IF(A489="","",ROUND(L489*I489,2))</f>
        <v/>
      </c>
      <c r="N489" s="13">
        <f>IF(A489="","",ROUND(L489*J489,2))</f>
        <v/>
      </c>
      <c r="O489" s="15" t="n"/>
      <c r="P489" s="12">
        <f>IF(A489="","",IF(COUNTIF($A$2:$A$501,A489)&gt;1,"Duplicate lot ID",IF(OR(B489="",H489="",I489="",J489=""),"Complete required fields",IF(L489&lt;0,"OVER SOLD","OK"))))</f>
        <v/>
      </c>
    </row>
    <row r="490" ht="23" customHeight="1">
      <c r="A490" s="9" t="n"/>
      <c r="B490" s="10" t="n"/>
      <c r="C490" s="10" t="n"/>
      <c r="D490" s="10" t="n"/>
      <c r="E490" s="10" t="n"/>
      <c r="F490" s="9" t="n"/>
      <c r="G490" s="10" t="n"/>
      <c r="H490" s="10" t="n"/>
      <c r="I490" s="11" t="n"/>
      <c r="J490" s="11" t="n"/>
      <c r="K490" s="12">
        <f>IF(A490="","",SUMIF(Sales!$C$2:$C$501,A490,Sales!$E$2:$E$501))</f>
        <v/>
      </c>
      <c r="L490" s="12">
        <f>IF(A490="","",H490-K490)</f>
        <v/>
      </c>
      <c r="M490" s="13">
        <f>IF(A490="","",ROUND(L490*I490,2))</f>
        <v/>
      </c>
      <c r="N490" s="13">
        <f>IF(A490="","",ROUND(L490*J490,2))</f>
        <v/>
      </c>
      <c r="O490" s="10" t="n"/>
      <c r="P490" s="12">
        <f>IF(A490="","",IF(COUNTIF($A$2:$A$501,A490)&gt;1,"Duplicate lot ID",IF(OR(B490="",H490="",I490="",J490=""),"Complete required fields",IF(L490&lt;0,"OVER SOLD","OK"))))</f>
        <v/>
      </c>
    </row>
    <row r="491" ht="23" customHeight="1">
      <c r="A491" s="14" t="n"/>
      <c r="B491" s="15" t="n"/>
      <c r="C491" s="15" t="n"/>
      <c r="D491" s="15" t="n"/>
      <c r="E491" s="15" t="n"/>
      <c r="F491" s="14" t="n"/>
      <c r="G491" s="15" t="n"/>
      <c r="H491" s="15" t="n"/>
      <c r="I491" s="16" t="n"/>
      <c r="J491" s="16" t="n"/>
      <c r="K491" s="12">
        <f>IF(A491="","",SUMIF(Sales!$C$2:$C$501,A491,Sales!$E$2:$E$501))</f>
        <v/>
      </c>
      <c r="L491" s="12">
        <f>IF(A491="","",H491-K491)</f>
        <v/>
      </c>
      <c r="M491" s="13">
        <f>IF(A491="","",ROUND(L491*I491,2))</f>
        <v/>
      </c>
      <c r="N491" s="13">
        <f>IF(A491="","",ROUND(L491*J491,2))</f>
        <v/>
      </c>
      <c r="O491" s="15" t="n"/>
      <c r="P491" s="12">
        <f>IF(A491="","",IF(COUNTIF($A$2:$A$501,A491)&gt;1,"Duplicate lot ID",IF(OR(B491="",H491="",I491="",J491=""),"Complete required fields",IF(L491&lt;0,"OVER SOLD","OK"))))</f>
        <v/>
      </c>
    </row>
    <row r="492" ht="23" customHeight="1">
      <c r="A492" s="9" t="n"/>
      <c r="B492" s="10" t="n"/>
      <c r="C492" s="10" t="n"/>
      <c r="D492" s="10" t="n"/>
      <c r="E492" s="10" t="n"/>
      <c r="F492" s="9" t="n"/>
      <c r="G492" s="10" t="n"/>
      <c r="H492" s="10" t="n"/>
      <c r="I492" s="11" t="n"/>
      <c r="J492" s="11" t="n"/>
      <c r="K492" s="12">
        <f>IF(A492="","",SUMIF(Sales!$C$2:$C$501,A492,Sales!$E$2:$E$501))</f>
        <v/>
      </c>
      <c r="L492" s="12">
        <f>IF(A492="","",H492-K492)</f>
        <v/>
      </c>
      <c r="M492" s="13">
        <f>IF(A492="","",ROUND(L492*I492,2))</f>
        <v/>
      </c>
      <c r="N492" s="13">
        <f>IF(A492="","",ROUND(L492*J492,2))</f>
        <v/>
      </c>
      <c r="O492" s="10" t="n"/>
      <c r="P492" s="12">
        <f>IF(A492="","",IF(COUNTIF($A$2:$A$501,A492)&gt;1,"Duplicate lot ID",IF(OR(B492="",H492="",I492="",J492=""),"Complete required fields",IF(L492&lt;0,"OVER SOLD","OK"))))</f>
        <v/>
      </c>
    </row>
    <row r="493" ht="23" customHeight="1">
      <c r="A493" s="14" t="n"/>
      <c r="B493" s="15" t="n"/>
      <c r="C493" s="15" t="n"/>
      <c r="D493" s="15" t="n"/>
      <c r="E493" s="15" t="n"/>
      <c r="F493" s="14" t="n"/>
      <c r="G493" s="15" t="n"/>
      <c r="H493" s="15" t="n"/>
      <c r="I493" s="16" t="n"/>
      <c r="J493" s="16" t="n"/>
      <c r="K493" s="12">
        <f>IF(A493="","",SUMIF(Sales!$C$2:$C$501,A493,Sales!$E$2:$E$501))</f>
        <v/>
      </c>
      <c r="L493" s="12">
        <f>IF(A493="","",H493-K493)</f>
        <v/>
      </c>
      <c r="M493" s="13">
        <f>IF(A493="","",ROUND(L493*I493,2))</f>
        <v/>
      </c>
      <c r="N493" s="13">
        <f>IF(A493="","",ROUND(L493*J493,2))</f>
        <v/>
      </c>
      <c r="O493" s="15" t="n"/>
      <c r="P493" s="12">
        <f>IF(A493="","",IF(COUNTIF($A$2:$A$501,A493)&gt;1,"Duplicate lot ID",IF(OR(B493="",H493="",I493="",J493=""),"Complete required fields",IF(L493&lt;0,"OVER SOLD","OK"))))</f>
        <v/>
      </c>
    </row>
    <row r="494" ht="23" customHeight="1">
      <c r="A494" s="9" t="n"/>
      <c r="B494" s="10" t="n"/>
      <c r="C494" s="10" t="n"/>
      <c r="D494" s="10" t="n"/>
      <c r="E494" s="10" t="n"/>
      <c r="F494" s="9" t="n"/>
      <c r="G494" s="10" t="n"/>
      <c r="H494" s="10" t="n"/>
      <c r="I494" s="11" t="n"/>
      <c r="J494" s="11" t="n"/>
      <c r="K494" s="12">
        <f>IF(A494="","",SUMIF(Sales!$C$2:$C$501,A494,Sales!$E$2:$E$501))</f>
        <v/>
      </c>
      <c r="L494" s="12">
        <f>IF(A494="","",H494-K494)</f>
        <v/>
      </c>
      <c r="M494" s="13">
        <f>IF(A494="","",ROUND(L494*I494,2))</f>
        <v/>
      </c>
      <c r="N494" s="13">
        <f>IF(A494="","",ROUND(L494*J494,2))</f>
        <v/>
      </c>
      <c r="O494" s="10" t="n"/>
      <c r="P494" s="12">
        <f>IF(A494="","",IF(COUNTIF($A$2:$A$501,A494)&gt;1,"Duplicate lot ID",IF(OR(B494="",H494="",I494="",J494=""),"Complete required fields",IF(L494&lt;0,"OVER SOLD","OK"))))</f>
        <v/>
      </c>
    </row>
    <row r="495" ht="23" customHeight="1">
      <c r="A495" s="14" t="n"/>
      <c r="B495" s="15" t="n"/>
      <c r="C495" s="15" t="n"/>
      <c r="D495" s="15" t="n"/>
      <c r="E495" s="15" t="n"/>
      <c r="F495" s="14" t="n"/>
      <c r="G495" s="15" t="n"/>
      <c r="H495" s="15" t="n"/>
      <c r="I495" s="16" t="n"/>
      <c r="J495" s="16" t="n"/>
      <c r="K495" s="12">
        <f>IF(A495="","",SUMIF(Sales!$C$2:$C$501,A495,Sales!$E$2:$E$501))</f>
        <v/>
      </c>
      <c r="L495" s="12">
        <f>IF(A495="","",H495-K495)</f>
        <v/>
      </c>
      <c r="M495" s="13">
        <f>IF(A495="","",ROUND(L495*I495,2))</f>
        <v/>
      </c>
      <c r="N495" s="13">
        <f>IF(A495="","",ROUND(L495*J495,2))</f>
        <v/>
      </c>
      <c r="O495" s="15" t="n"/>
      <c r="P495" s="12">
        <f>IF(A495="","",IF(COUNTIF($A$2:$A$501,A495)&gt;1,"Duplicate lot ID",IF(OR(B495="",H495="",I495="",J495=""),"Complete required fields",IF(L495&lt;0,"OVER SOLD","OK"))))</f>
        <v/>
      </c>
    </row>
    <row r="496" ht="23" customHeight="1">
      <c r="A496" s="9" t="n"/>
      <c r="B496" s="10" t="n"/>
      <c r="C496" s="10" t="n"/>
      <c r="D496" s="10" t="n"/>
      <c r="E496" s="10" t="n"/>
      <c r="F496" s="9" t="n"/>
      <c r="G496" s="10" t="n"/>
      <c r="H496" s="10" t="n"/>
      <c r="I496" s="11" t="n"/>
      <c r="J496" s="11" t="n"/>
      <c r="K496" s="12">
        <f>IF(A496="","",SUMIF(Sales!$C$2:$C$501,A496,Sales!$E$2:$E$501))</f>
        <v/>
      </c>
      <c r="L496" s="12">
        <f>IF(A496="","",H496-K496)</f>
        <v/>
      </c>
      <c r="M496" s="13">
        <f>IF(A496="","",ROUND(L496*I496,2))</f>
        <v/>
      </c>
      <c r="N496" s="13">
        <f>IF(A496="","",ROUND(L496*J496,2))</f>
        <v/>
      </c>
      <c r="O496" s="10" t="n"/>
      <c r="P496" s="12">
        <f>IF(A496="","",IF(COUNTIF($A$2:$A$501,A496)&gt;1,"Duplicate lot ID",IF(OR(B496="",H496="",I496="",J496=""),"Complete required fields",IF(L496&lt;0,"OVER SOLD","OK"))))</f>
        <v/>
      </c>
    </row>
    <row r="497" ht="23" customHeight="1">
      <c r="A497" s="14" t="n"/>
      <c r="B497" s="15" t="n"/>
      <c r="C497" s="15" t="n"/>
      <c r="D497" s="15" t="n"/>
      <c r="E497" s="15" t="n"/>
      <c r="F497" s="14" t="n"/>
      <c r="G497" s="15" t="n"/>
      <c r="H497" s="15" t="n"/>
      <c r="I497" s="16" t="n"/>
      <c r="J497" s="16" t="n"/>
      <c r="K497" s="12">
        <f>IF(A497="","",SUMIF(Sales!$C$2:$C$501,A497,Sales!$E$2:$E$501))</f>
        <v/>
      </c>
      <c r="L497" s="12">
        <f>IF(A497="","",H497-K497)</f>
        <v/>
      </c>
      <c r="M497" s="13">
        <f>IF(A497="","",ROUND(L497*I497,2))</f>
        <v/>
      </c>
      <c r="N497" s="13">
        <f>IF(A497="","",ROUND(L497*J497,2))</f>
        <v/>
      </c>
      <c r="O497" s="15" t="n"/>
      <c r="P497" s="12">
        <f>IF(A497="","",IF(COUNTIF($A$2:$A$501,A497)&gt;1,"Duplicate lot ID",IF(OR(B497="",H497="",I497="",J497=""),"Complete required fields",IF(L497&lt;0,"OVER SOLD","OK"))))</f>
        <v/>
      </c>
    </row>
    <row r="498" ht="23" customHeight="1">
      <c r="A498" s="9" t="n"/>
      <c r="B498" s="10" t="n"/>
      <c r="C498" s="10" t="n"/>
      <c r="D498" s="10" t="n"/>
      <c r="E498" s="10" t="n"/>
      <c r="F498" s="9" t="n"/>
      <c r="G498" s="10" t="n"/>
      <c r="H498" s="10" t="n"/>
      <c r="I498" s="11" t="n"/>
      <c r="J498" s="11" t="n"/>
      <c r="K498" s="12">
        <f>IF(A498="","",SUMIF(Sales!$C$2:$C$501,A498,Sales!$E$2:$E$501))</f>
        <v/>
      </c>
      <c r="L498" s="12">
        <f>IF(A498="","",H498-K498)</f>
        <v/>
      </c>
      <c r="M498" s="13">
        <f>IF(A498="","",ROUND(L498*I498,2))</f>
        <v/>
      </c>
      <c r="N498" s="13">
        <f>IF(A498="","",ROUND(L498*J498,2))</f>
        <v/>
      </c>
      <c r="O498" s="10" t="n"/>
      <c r="P498" s="12">
        <f>IF(A498="","",IF(COUNTIF($A$2:$A$501,A498)&gt;1,"Duplicate lot ID",IF(OR(B498="",H498="",I498="",J498=""),"Complete required fields",IF(L498&lt;0,"OVER SOLD","OK"))))</f>
        <v/>
      </c>
    </row>
    <row r="499" ht="23" customHeight="1">
      <c r="A499" s="14" t="n"/>
      <c r="B499" s="15" t="n"/>
      <c r="C499" s="15" t="n"/>
      <c r="D499" s="15" t="n"/>
      <c r="E499" s="15" t="n"/>
      <c r="F499" s="14" t="n"/>
      <c r="G499" s="15" t="n"/>
      <c r="H499" s="15" t="n"/>
      <c r="I499" s="16" t="n"/>
      <c r="J499" s="16" t="n"/>
      <c r="K499" s="12">
        <f>IF(A499="","",SUMIF(Sales!$C$2:$C$501,A499,Sales!$E$2:$E$501))</f>
        <v/>
      </c>
      <c r="L499" s="12">
        <f>IF(A499="","",H499-K499)</f>
        <v/>
      </c>
      <c r="M499" s="13">
        <f>IF(A499="","",ROUND(L499*I499,2))</f>
        <v/>
      </c>
      <c r="N499" s="13">
        <f>IF(A499="","",ROUND(L499*J499,2))</f>
        <v/>
      </c>
      <c r="O499" s="15" t="n"/>
      <c r="P499" s="12">
        <f>IF(A499="","",IF(COUNTIF($A$2:$A$501,A499)&gt;1,"Duplicate lot ID",IF(OR(B499="",H499="",I499="",J499=""),"Complete required fields",IF(L499&lt;0,"OVER SOLD","OK"))))</f>
        <v/>
      </c>
    </row>
    <row r="500" ht="23" customHeight="1">
      <c r="A500" s="9" t="n"/>
      <c r="B500" s="10" t="n"/>
      <c r="C500" s="10" t="n"/>
      <c r="D500" s="10" t="n"/>
      <c r="E500" s="10" t="n"/>
      <c r="F500" s="9" t="n"/>
      <c r="G500" s="10" t="n"/>
      <c r="H500" s="10" t="n"/>
      <c r="I500" s="11" t="n"/>
      <c r="J500" s="11" t="n"/>
      <c r="K500" s="12">
        <f>IF(A500="","",SUMIF(Sales!$C$2:$C$501,A500,Sales!$E$2:$E$501))</f>
        <v/>
      </c>
      <c r="L500" s="12">
        <f>IF(A500="","",H500-K500)</f>
        <v/>
      </c>
      <c r="M500" s="13">
        <f>IF(A500="","",ROUND(L500*I500,2))</f>
        <v/>
      </c>
      <c r="N500" s="13">
        <f>IF(A500="","",ROUND(L500*J500,2))</f>
        <v/>
      </c>
      <c r="O500" s="10" t="n"/>
      <c r="P500" s="12">
        <f>IF(A500="","",IF(COUNTIF($A$2:$A$501,A500)&gt;1,"Duplicate lot ID",IF(OR(B500="",H500="",I500="",J500=""),"Complete required fields",IF(L500&lt;0,"OVER SOLD","OK"))))</f>
        <v/>
      </c>
    </row>
    <row r="501" ht="23" customHeight="1">
      <c r="A501" s="14" t="n"/>
      <c r="B501" s="15" t="n"/>
      <c r="C501" s="15" t="n"/>
      <c r="D501" s="15" t="n"/>
      <c r="E501" s="15" t="n"/>
      <c r="F501" s="14" t="n"/>
      <c r="G501" s="15" t="n"/>
      <c r="H501" s="15" t="n"/>
      <c r="I501" s="16" t="n"/>
      <c r="J501" s="16" t="n"/>
      <c r="K501" s="12">
        <f>IF(A501="","",SUMIF(Sales!$C$2:$C$501,A501,Sales!$E$2:$E$501))</f>
        <v/>
      </c>
      <c r="L501" s="12">
        <f>IF(A501="","",H501-K501)</f>
        <v/>
      </c>
      <c r="M501" s="13">
        <f>IF(A501="","",ROUND(L501*I501,2))</f>
        <v/>
      </c>
      <c r="N501" s="13">
        <f>IF(A501="","",ROUND(L501*J501,2))</f>
        <v/>
      </c>
      <c r="O501" s="15" t="n"/>
      <c r="P501" s="12">
        <f>IF(A501="","",IF(COUNTIF($A$2:$A$501,A501)&gt;1,"Duplicate lot ID",IF(OR(B501="",H501="",I501="",J501=""),"Complete required fields",IF(L501&lt;0,"OVER SOLD","OK"))))</f>
        <v/>
      </c>
    </row>
  </sheetData>
  <autoFilter ref="A1:P501"/>
  <conditionalFormatting sqref="L2:L501">
    <cfRule type="cellIs" priority="1" operator="lessThan" dxfId="0">
      <formula>0</formula>
    </cfRule>
  </conditionalFormatting>
  <dataValidations count="3">
    <dataValidation sqref="H2:H501" showDropDown="0" showInputMessage="0" showErrorMessage="1" allowBlank="1" errorTitle="Check this value" error="Enter a valid non-negative amount or whole-number quantity." type="whole" errorStyle="stop" operator="greaterThanOrEqual">
      <formula1>1</formula1>
    </dataValidation>
    <dataValidation sqref="I2:I501" showDropDown="0" showInputMessage="0" showErrorMessage="1" allowBlank="1" errorTitle="Check this value" error="Enter a valid non-negative amount or whole-number quantity." type="decimal" errorStyle="stop" operator="greaterThanOrEqual">
      <formula1>0</formula1>
    </dataValidation>
    <dataValidation sqref="J2:J501" showDropDown="0" showInputMessage="0" showErrorMessage="1" allowBlank="1" errorTitle="Check this value" error="Enter a valid non-negative amount or whole-number quantity." type="decimal" errorStyle="stop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34" customHeight="1">
      <c r="A1" s="8" t="inlineStr">
        <is>
          <t>Sale date</t>
        </is>
      </c>
      <c r="B1" s="8" t="inlineStr">
        <is>
          <t>Sale ID</t>
        </is>
      </c>
      <c r="C1" s="8" t="inlineStr">
        <is>
          <t>Lot ID</t>
        </is>
      </c>
      <c r="D1" s="8" t="inlineStr">
        <is>
          <t>Client ID (optional)</t>
        </is>
      </c>
      <c r="E1" s="8" t="inlineStr">
        <is>
          <t>Quantity sold</t>
        </is>
      </c>
      <c r="F1" s="8" t="inlineStr">
        <is>
          <t>Sale price / card</t>
        </is>
      </c>
      <c r="G1" s="8" t="inlineStr">
        <is>
          <t>Revenue</t>
        </is>
      </c>
      <c r="H1" s="8" t="inlineStr">
        <is>
          <t>Cost / card</t>
        </is>
      </c>
      <c r="I1" s="8" t="inlineStr">
        <is>
          <t>Cost basis</t>
        </is>
      </c>
      <c r="J1" s="8" t="inlineStr">
        <is>
          <t>Total fees</t>
        </is>
      </c>
      <c r="K1" s="8" t="inlineStr">
        <is>
          <t>Total shipping</t>
        </is>
      </c>
      <c r="L1" s="8" t="inlineStr">
        <is>
          <t>Profit</t>
        </is>
      </c>
      <c r="M1" s="8" t="inlineStr">
        <is>
          <t>Channel</t>
        </is>
      </c>
      <c r="N1" s="8" t="inlineStr">
        <is>
          <t>Notes</t>
        </is>
      </c>
      <c r="O1" s="8" t="inlineStr">
        <is>
          <t>Player / Card</t>
        </is>
      </c>
      <c r="P1" s="8" t="inlineStr">
        <is>
          <t>Client name</t>
        </is>
      </c>
      <c r="Q1" s="8" t="inlineStr">
        <is>
          <t>Check</t>
        </is>
      </c>
    </row>
    <row r="2" ht="23" customHeight="1">
      <c r="A2" s="17" t="n"/>
      <c r="B2" s="9" t="n"/>
      <c r="C2" s="9" t="n"/>
      <c r="D2" s="9" t="n"/>
      <c r="E2" s="10" t="n"/>
      <c r="F2" s="11" t="n"/>
      <c r="G2" s="13">
        <f>IF(C2="","",ROUND(E2*F2,2))</f>
        <v/>
      </c>
      <c r="H2" s="13">
        <f>IF(C2="","",IFERROR(VLOOKUP(C2,Inventory!$A$2:$J$501,9,FALSE),0))</f>
        <v/>
      </c>
      <c r="I2" s="13">
        <f>IF(C2="","",ROUND(E2*H2,2))</f>
        <v/>
      </c>
      <c r="J2" s="11" t="n"/>
      <c r="K2" s="11" t="n"/>
      <c r="L2" s="13">
        <f>IF(C2="","",ROUND(G2-I2-J2-K2,2))</f>
        <v/>
      </c>
      <c r="M2" s="10" t="n"/>
      <c r="N2" s="10" t="n"/>
      <c r="O2" s="12">
        <f>IF(C2="","",IFERROR(VLOOKUP(C2,Inventory!$A$2:$B$501,2,FALSE),"Unknown lot"))</f>
        <v/>
      </c>
      <c r="P2" s="12">
        <f>IF(D2="","",IFERROR(VLOOKUP(D2,Clients!$A$2:$B$501,2,FALSE),"Unknown client"))</f>
        <v/>
      </c>
      <c r="Q2" s="12">
        <f>IF(C2="","",IF(COUNTIF(Inventory!$A$2:$A$501,C2)&lt;&gt;1,"Check lot ID",IF(OR(A2="",B2="",E2="",F2=""),"Complete required fields",IF(COUNTIF($B$2:$B$501,B2)&gt;1,"Duplicate sale ID",IF(AND(D2&lt;&gt;"",COUNTIF(Clients!$A$2:$A$501,D2)&lt;&gt;1),"Check client ID",IF(VLOOKUP(C2,Inventory!$A$2:$L$501,12,FALSE)&lt;0,"OVER SOLD","OK"))))))</f>
        <v/>
      </c>
    </row>
    <row r="3" ht="23" customHeight="1">
      <c r="A3" s="18" t="n"/>
      <c r="B3" s="14" t="n"/>
      <c r="C3" s="14" t="n"/>
      <c r="D3" s="14" t="n"/>
      <c r="E3" s="15" t="n"/>
      <c r="F3" s="16" t="n"/>
      <c r="G3" s="13">
        <f>IF(C3="","",ROUND(E3*F3,2))</f>
        <v/>
      </c>
      <c r="H3" s="13">
        <f>IF(C3="","",IFERROR(VLOOKUP(C3,Inventory!$A$2:$J$501,9,FALSE),0))</f>
        <v/>
      </c>
      <c r="I3" s="13">
        <f>IF(C3="","",ROUND(E3*H3,2))</f>
        <v/>
      </c>
      <c r="J3" s="16" t="n"/>
      <c r="K3" s="16" t="n"/>
      <c r="L3" s="13">
        <f>IF(C3="","",ROUND(G3-I3-J3-K3,2))</f>
        <v/>
      </c>
      <c r="M3" s="15" t="n"/>
      <c r="N3" s="15" t="n"/>
      <c r="O3" s="12">
        <f>IF(C3="","",IFERROR(VLOOKUP(C3,Inventory!$A$2:$B$501,2,FALSE),"Unknown lot"))</f>
        <v/>
      </c>
      <c r="P3" s="12">
        <f>IF(D3="","",IFERROR(VLOOKUP(D3,Clients!$A$2:$B$501,2,FALSE),"Unknown client"))</f>
        <v/>
      </c>
      <c r="Q3" s="12">
        <f>IF(C3="","",IF(COUNTIF(Inventory!$A$2:$A$501,C3)&lt;&gt;1,"Check lot ID",IF(OR(A3="",B3="",E3="",F3=""),"Complete required fields",IF(COUNTIF($B$2:$B$501,B3)&gt;1,"Duplicate sale ID",IF(AND(D3&lt;&gt;"",COUNTIF(Clients!$A$2:$A$501,D3)&lt;&gt;1),"Check client ID",IF(VLOOKUP(C3,Inventory!$A$2:$L$501,12,FALSE)&lt;0,"OVER SOLD","OK"))))))</f>
        <v/>
      </c>
    </row>
    <row r="4" ht="23" customHeight="1">
      <c r="A4" s="17" t="n"/>
      <c r="B4" s="9" t="n"/>
      <c r="C4" s="9" t="n"/>
      <c r="D4" s="9" t="n"/>
      <c r="E4" s="10" t="n"/>
      <c r="F4" s="11" t="n"/>
      <c r="G4" s="13">
        <f>IF(C4="","",ROUND(E4*F4,2))</f>
        <v/>
      </c>
      <c r="H4" s="13">
        <f>IF(C4="","",IFERROR(VLOOKUP(C4,Inventory!$A$2:$J$501,9,FALSE),0))</f>
        <v/>
      </c>
      <c r="I4" s="13">
        <f>IF(C4="","",ROUND(E4*H4,2))</f>
        <v/>
      </c>
      <c r="J4" s="11" t="n"/>
      <c r="K4" s="11" t="n"/>
      <c r="L4" s="13">
        <f>IF(C4="","",ROUND(G4-I4-J4-K4,2))</f>
        <v/>
      </c>
      <c r="M4" s="10" t="n"/>
      <c r="N4" s="10" t="n"/>
      <c r="O4" s="12">
        <f>IF(C4="","",IFERROR(VLOOKUP(C4,Inventory!$A$2:$B$501,2,FALSE),"Unknown lot"))</f>
        <v/>
      </c>
      <c r="P4" s="12">
        <f>IF(D4="","",IFERROR(VLOOKUP(D4,Clients!$A$2:$B$501,2,FALSE),"Unknown client"))</f>
        <v/>
      </c>
      <c r="Q4" s="12">
        <f>IF(C4="","",IF(COUNTIF(Inventory!$A$2:$A$501,C4)&lt;&gt;1,"Check lot ID",IF(OR(A4="",B4="",E4="",F4=""),"Complete required fields",IF(COUNTIF($B$2:$B$501,B4)&gt;1,"Duplicate sale ID",IF(AND(D4&lt;&gt;"",COUNTIF(Clients!$A$2:$A$501,D4)&lt;&gt;1),"Check client ID",IF(VLOOKUP(C4,Inventory!$A$2:$L$501,12,FALSE)&lt;0,"OVER SOLD","OK"))))))</f>
        <v/>
      </c>
    </row>
    <row r="5" ht="23" customHeight="1">
      <c r="A5" s="18" t="n"/>
      <c r="B5" s="14" t="n"/>
      <c r="C5" s="14" t="n"/>
      <c r="D5" s="14" t="n"/>
      <c r="E5" s="15" t="n"/>
      <c r="F5" s="16" t="n"/>
      <c r="G5" s="13">
        <f>IF(C5="","",ROUND(E5*F5,2))</f>
        <v/>
      </c>
      <c r="H5" s="13">
        <f>IF(C5="","",IFERROR(VLOOKUP(C5,Inventory!$A$2:$J$501,9,FALSE),0))</f>
        <v/>
      </c>
      <c r="I5" s="13">
        <f>IF(C5="","",ROUND(E5*H5,2))</f>
        <v/>
      </c>
      <c r="J5" s="16" t="n"/>
      <c r="K5" s="16" t="n"/>
      <c r="L5" s="13">
        <f>IF(C5="","",ROUND(G5-I5-J5-K5,2))</f>
        <v/>
      </c>
      <c r="M5" s="15" t="n"/>
      <c r="N5" s="15" t="n"/>
      <c r="O5" s="12">
        <f>IF(C5="","",IFERROR(VLOOKUP(C5,Inventory!$A$2:$B$501,2,FALSE),"Unknown lot"))</f>
        <v/>
      </c>
      <c r="P5" s="12">
        <f>IF(D5="","",IFERROR(VLOOKUP(D5,Clients!$A$2:$B$501,2,FALSE),"Unknown client"))</f>
        <v/>
      </c>
      <c r="Q5" s="12">
        <f>IF(C5="","",IF(COUNTIF(Inventory!$A$2:$A$501,C5)&lt;&gt;1,"Check lot ID",IF(OR(A5="",B5="",E5="",F5=""),"Complete required fields",IF(COUNTIF($B$2:$B$501,B5)&gt;1,"Duplicate sale ID",IF(AND(D5&lt;&gt;"",COUNTIF(Clients!$A$2:$A$501,D5)&lt;&gt;1),"Check client ID",IF(VLOOKUP(C5,Inventory!$A$2:$L$501,12,FALSE)&lt;0,"OVER SOLD","OK"))))))</f>
        <v/>
      </c>
    </row>
    <row r="6" ht="23" customHeight="1">
      <c r="A6" s="17" t="n"/>
      <c r="B6" s="9" t="n"/>
      <c r="C6" s="9" t="n"/>
      <c r="D6" s="9" t="n"/>
      <c r="E6" s="10" t="n"/>
      <c r="F6" s="11" t="n"/>
      <c r="G6" s="13">
        <f>IF(C6="","",ROUND(E6*F6,2))</f>
        <v/>
      </c>
      <c r="H6" s="13">
        <f>IF(C6="","",IFERROR(VLOOKUP(C6,Inventory!$A$2:$J$501,9,FALSE),0))</f>
        <v/>
      </c>
      <c r="I6" s="13">
        <f>IF(C6="","",ROUND(E6*H6,2))</f>
        <v/>
      </c>
      <c r="J6" s="11" t="n"/>
      <c r="K6" s="11" t="n"/>
      <c r="L6" s="13">
        <f>IF(C6="","",ROUND(G6-I6-J6-K6,2))</f>
        <v/>
      </c>
      <c r="M6" s="10" t="n"/>
      <c r="N6" s="10" t="n"/>
      <c r="O6" s="12">
        <f>IF(C6="","",IFERROR(VLOOKUP(C6,Inventory!$A$2:$B$501,2,FALSE),"Unknown lot"))</f>
        <v/>
      </c>
      <c r="P6" s="12">
        <f>IF(D6="","",IFERROR(VLOOKUP(D6,Clients!$A$2:$B$501,2,FALSE),"Unknown client"))</f>
        <v/>
      </c>
      <c r="Q6" s="12">
        <f>IF(C6="","",IF(COUNTIF(Inventory!$A$2:$A$501,C6)&lt;&gt;1,"Check lot ID",IF(OR(A6="",B6="",E6="",F6=""),"Complete required fields",IF(COUNTIF($B$2:$B$501,B6)&gt;1,"Duplicate sale ID",IF(AND(D6&lt;&gt;"",COUNTIF(Clients!$A$2:$A$501,D6)&lt;&gt;1),"Check client ID",IF(VLOOKUP(C6,Inventory!$A$2:$L$501,12,FALSE)&lt;0,"OVER SOLD","OK"))))))</f>
        <v/>
      </c>
    </row>
    <row r="7" ht="23" customHeight="1">
      <c r="A7" s="18" t="n"/>
      <c r="B7" s="14" t="n"/>
      <c r="C7" s="14" t="n"/>
      <c r="D7" s="14" t="n"/>
      <c r="E7" s="15" t="n"/>
      <c r="F7" s="16" t="n"/>
      <c r="G7" s="13">
        <f>IF(C7="","",ROUND(E7*F7,2))</f>
        <v/>
      </c>
      <c r="H7" s="13">
        <f>IF(C7="","",IFERROR(VLOOKUP(C7,Inventory!$A$2:$J$501,9,FALSE),0))</f>
        <v/>
      </c>
      <c r="I7" s="13">
        <f>IF(C7="","",ROUND(E7*H7,2))</f>
        <v/>
      </c>
      <c r="J7" s="16" t="n"/>
      <c r="K7" s="16" t="n"/>
      <c r="L7" s="13">
        <f>IF(C7="","",ROUND(G7-I7-J7-K7,2))</f>
        <v/>
      </c>
      <c r="M7" s="15" t="n"/>
      <c r="N7" s="15" t="n"/>
      <c r="O7" s="12">
        <f>IF(C7="","",IFERROR(VLOOKUP(C7,Inventory!$A$2:$B$501,2,FALSE),"Unknown lot"))</f>
        <v/>
      </c>
      <c r="P7" s="12">
        <f>IF(D7="","",IFERROR(VLOOKUP(D7,Clients!$A$2:$B$501,2,FALSE),"Unknown client"))</f>
        <v/>
      </c>
      <c r="Q7" s="12">
        <f>IF(C7="","",IF(COUNTIF(Inventory!$A$2:$A$501,C7)&lt;&gt;1,"Check lot ID",IF(OR(A7="",B7="",E7="",F7=""),"Complete required fields",IF(COUNTIF($B$2:$B$501,B7)&gt;1,"Duplicate sale ID",IF(AND(D7&lt;&gt;"",COUNTIF(Clients!$A$2:$A$501,D7)&lt;&gt;1),"Check client ID",IF(VLOOKUP(C7,Inventory!$A$2:$L$501,12,FALSE)&lt;0,"OVER SOLD","OK"))))))</f>
        <v/>
      </c>
    </row>
    <row r="8" ht="23" customHeight="1">
      <c r="A8" s="17" t="n"/>
      <c r="B8" s="9" t="n"/>
      <c r="C8" s="9" t="n"/>
      <c r="D8" s="9" t="n"/>
      <c r="E8" s="10" t="n"/>
      <c r="F8" s="11" t="n"/>
      <c r="G8" s="13">
        <f>IF(C8="","",ROUND(E8*F8,2))</f>
        <v/>
      </c>
      <c r="H8" s="13">
        <f>IF(C8="","",IFERROR(VLOOKUP(C8,Inventory!$A$2:$J$501,9,FALSE),0))</f>
        <v/>
      </c>
      <c r="I8" s="13">
        <f>IF(C8="","",ROUND(E8*H8,2))</f>
        <v/>
      </c>
      <c r="J8" s="11" t="n"/>
      <c r="K8" s="11" t="n"/>
      <c r="L8" s="13">
        <f>IF(C8="","",ROUND(G8-I8-J8-K8,2))</f>
        <v/>
      </c>
      <c r="M8" s="10" t="n"/>
      <c r="N8" s="10" t="n"/>
      <c r="O8" s="12">
        <f>IF(C8="","",IFERROR(VLOOKUP(C8,Inventory!$A$2:$B$501,2,FALSE),"Unknown lot"))</f>
        <v/>
      </c>
      <c r="P8" s="12">
        <f>IF(D8="","",IFERROR(VLOOKUP(D8,Clients!$A$2:$B$501,2,FALSE),"Unknown client"))</f>
        <v/>
      </c>
      <c r="Q8" s="12">
        <f>IF(C8="","",IF(COUNTIF(Inventory!$A$2:$A$501,C8)&lt;&gt;1,"Check lot ID",IF(OR(A8="",B8="",E8="",F8=""),"Complete required fields",IF(COUNTIF($B$2:$B$501,B8)&gt;1,"Duplicate sale ID",IF(AND(D8&lt;&gt;"",COUNTIF(Clients!$A$2:$A$501,D8)&lt;&gt;1),"Check client ID",IF(VLOOKUP(C8,Inventory!$A$2:$L$501,12,FALSE)&lt;0,"OVER SOLD","OK"))))))</f>
        <v/>
      </c>
    </row>
    <row r="9" ht="23" customHeight="1">
      <c r="A9" s="18" t="n"/>
      <c r="B9" s="14" t="n"/>
      <c r="C9" s="14" t="n"/>
      <c r="D9" s="14" t="n"/>
      <c r="E9" s="15" t="n"/>
      <c r="F9" s="16" t="n"/>
      <c r="G9" s="13">
        <f>IF(C9="","",ROUND(E9*F9,2))</f>
        <v/>
      </c>
      <c r="H9" s="13">
        <f>IF(C9="","",IFERROR(VLOOKUP(C9,Inventory!$A$2:$J$501,9,FALSE),0))</f>
        <v/>
      </c>
      <c r="I9" s="13">
        <f>IF(C9="","",ROUND(E9*H9,2))</f>
        <v/>
      </c>
      <c r="J9" s="16" t="n"/>
      <c r="K9" s="16" t="n"/>
      <c r="L9" s="13">
        <f>IF(C9="","",ROUND(G9-I9-J9-K9,2))</f>
        <v/>
      </c>
      <c r="M9" s="15" t="n"/>
      <c r="N9" s="15" t="n"/>
      <c r="O9" s="12">
        <f>IF(C9="","",IFERROR(VLOOKUP(C9,Inventory!$A$2:$B$501,2,FALSE),"Unknown lot"))</f>
        <v/>
      </c>
      <c r="P9" s="12">
        <f>IF(D9="","",IFERROR(VLOOKUP(D9,Clients!$A$2:$B$501,2,FALSE),"Unknown client"))</f>
        <v/>
      </c>
      <c r="Q9" s="12">
        <f>IF(C9="","",IF(COUNTIF(Inventory!$A$2:$A$501,C9)&lt;&gt;1,"Check lot ID",IF(OR(A9="",B9="",E9="",F9=""),"Complete required fields",IF(COUNTIF($B$2:$B$501,B9)&gt;1,"Duplicate sale ID",IF(AND(D9&lt;&gt;"",COUNTIF(Clients!$A$2:$A$501,D9)&lt;&gt;1),"Check client ID",IF(VLOOKUP(C9,Inventory!$A$2:$L$501,12,FALSE)&lt;0,"OVER SOLD","OK"))))))</f>
        <v/>
      </c>
    </row>
    <row r="10" ht="23" customHeight="1">
      <c r="A10" s="17" t="n"/>
      <c r="B10" s="9" t="n"/>
      <c r="C10" s="9" t="n"/>
      <c r="D10" s="9" t="n"/>
      <c r="E10" s="10" t="n"/>
      <c r="F10" s="11" t="n"/>
      <c r="G10" s="13">
        <f>IF(C10="","",ROUND(E10*F10,2))</f>
        <v/>
      </c>
      <c r="H10" s="13">
        <f>IF(C10="","",IFERROR(VLOOKUP(C10,Inventory!$A$2:$J$501,9,FALSE),0))</f>
        <v/>
      </c>
      <c r="I10" s="13">
        <f>IF(C10="","",ROUND(E10*H10,2))</f>
        <v/>
      </c>
      <c r="J10" s="11" t="n"/>
      <c r="K10" s="11" t="n"/>
      <c r="L10" s="13">
        <f>IF(C10="","",ROUND(G10-I10-J10-K10,2))</f>
        <v/>
      </c>
      <c r="M10" s="10" t="n"/>
      <c r="N10" s="10" t="n"/>
      <c r="O10" s="12">
        <f>IF(C10="","",IFERROR(VLOOKUP(C10,Inventory!$A$2:$B$501,2,FALSE),"Unknown lot"))</f>
        <v/>
      </c>
      <c r="P10" s="12">
        <f>IF(D10="","",IFERROR(VLOOKUP(D10,Clients!$A$2:$B$501,2,FALSE),"Unknown client"))</f>
        <v/>
      </c>
      <c r="Q10" s="12">
        <f>IF(C10="","",IF(COUNTIF(Inventory!$A$2:$A$501,C10)&lt;&gt;1,"Check lot ID",IF(OR(A10="",B10="",E10="",F10=""),"Complete required fields",IF(COUNTIF($B$2:$B$501,B10)&gt;1,"Duplicate sale ID",IF(AND(D10&lt;&gt;"",COUNTIF(Clients!$A$2:$A$501,D10)&lt;&gt;1),"Check client ID",IF(VLOOKUP(C10,Inventory!$A$2:$L$501,12,FALSE)&lt;0,"OVER SOLD","OK"))))))</f>
        <v/>
      </c>
    </row>
    <row r="11" ht="23" customHeight="1">
      <c r="A11" s="18" t="n"/>
      <c r="B11" s="14" t="n"/>
      <c r="C11" s="14" t="n"/>
      <c r="D11" s="14" t="n"/>
      <c r="E11" s="15" t="n"/>
      <c r="F11" s="16" t="n"/>
      <c r="G11" s="13">
        <f>IF(C11="","",ROUND(E11*F11,2))</f>
        <v/>
      </c>
      <c r="H11" s="13">
        <f>IF(C11="","",IFERROR(VLOOKUP(C11,Inventory!$A$2:$J$501,9,FALSE),0))</f>
        <v/>
      </c>
      <c r="I11" s="13">
        <f>IF(C11="","",ROUND(E11*H11,2))</f>
        <v/>
      </c>
      <c r="J11" s="16" t="n"/>
      <c r="K11" s="16" t="n"/>
      <c r="L11" s="13">
        <f>IF(C11="","",ROUND(G11-I11-J11-K11,2))</f>
        <v/>
      </c>
      <c r="M11" s="15" t="n"/>
      <c r="N11" s="15" t="n"/>
      <c r="O11" s="12">
        <f>IF(C11="","",IFERROR(VLOOKUP(C11,Inventory!$A$2:$B$501,2,FALSE),"Unknown lot"))</f>
        <v/>
      </c>
      <c r="P11" s="12">
        <f>IF(D11="","",IFERROR(VLOOKUP(D11,Clients!$A$2:$B$501,2,FALSE),"Unknown client"))</f>
        <v/>
      </c>
      <c r="Q11" s="12">
        <f>IF(C11="","",IF(COUNTIF(Inventory!$A$2:$A$501,C11)&lt;&gt;1,"Check lot ID",IF(OR(A11="",B11="",E11="",F11=""),"Complete required fields",IF(COUNTIF($B$2:$B$501,B11)&gt;1,"Duplicate sale ID",IF(AND(D11&lt;&gt;"",COUNTIF(Clients!$A$2:$A$501,D11)&lt;&gt;1),"Check client ID",IF(VLOOKUP(C11,Inventory!$A$2:$L$501,12,FALSE)&lt;0,"OVER SOLD","OK"))))))</f>
        <v/>
      </c>
    </row>
    <row r="12" ht="23" customHeight="1">
      <c r="A12" s="17" t="n"/>
      <c r="B12" s="9" t="n"/>
      <c r="C12" s="9" t="n"/>
      <c r="D12" s="9" t="n"/>
      <c r="E12" s="10" t="n"/>
      <c r="F12" s="11" t="n"/>
      <c r="G12" s="13">
        <f>IF(C12="","",ROUND(E12*F12,2))</f>
        <v/>
      </c>
      <c r="H12" s="13">
        <f>IF(C12="","",IFERROR(VLOOKUP(C12,Inventory!$A$2:$J$501,9,FALSE),0))</f>
        <v/>
      </c>
      <c r="I12" s="13">
        <f>IF(C12="","",ROUND(E12*H12,2))</f>
        <v/>
      </c>
      <c r="J12" s="11" t="n"/>
      <c r="K12" s="11" t="n"/>
      <c r="L12" s="13">
        <f>IF(C12="","",ROUND(G12-I12-J12-K12,2))</f>
        <v/>
      </c>
      <c r="M12" s="10" t="n"/>
      <c r="N12" s="10" t="n"/>
      <c r="O12" s="12">
        <f>IF(C12="","",IFERROR(VLOOKUP(C12,Inventory!$A$2:$B$501,2,FALSE),"Unknown lot"))</f>
        <v/>
      </c>
      <c r="P12" s="12">
        <f>IF(D12="","",IFERROR(VLOOKUP(D12,Clients!$A$2:$B$501,2,FALSE),"Unknown client"))</f>
        <v/>
      </c>
      <c r="Q12" s="12">
        <f>IF(C12="","",IF(COUNTIF(Inventory!$A$2:$A$501,C12)&lt;&gt;1,"Check lot ID",IF(OR(A12="",B12="",E12="",F12=""),"Complete required fields",IF(COUNTIF($B$2:$B$501,B12)&gt;1,"Duplicate sale ID",IF(AND(D12&lt;&gt;"",COUNTIF(Clients!$A$2:$A$501,D12)&lt;&gt;1),"Check client ID",IF(VLOOKUP(C12,Inventory!$A$2:$L$501,12,FALSE)&lt;0,"OVER SOLD","OK"))))))</f>
        <v/>
      </c>
    </row>
    <row r="13" ht="23" customHeight="1">
      <c r="A13" s="18" t="n"/>
      <c r="B13" s="14" t="n"/>
      <c r="C13" s="14" t="n"/>
      <c r="D13" s="14" t="n"/>
      <c r="E13" s="15" t="n"/>
      <c r="F13" s="16" t="n"/>
      <c r="G13" s="13">
        <f>IF(C13="","",ROUND(E13*F13,2))</f>
        <v/>
      </c>
      <c r="H13" s="13">
        <f>IF(C13="","",IFERROR(VLOOKUP(C13,Inventory!$A$2:$J$501,9,FALSE),0))</f>
        <v/>
      </c>
      <c r="I13" s="13">
        <f>IF(C13="","",ROUND(E13*H13,2))</f>
        <v/>
      </c>
      <c r="J13" s="16" t="n"/>
      <c r="K13" s="16" t="n"/>
      <c r="L13" s="13">
        <f>IF(C13="","",ROUND(G13-I13-J13-K13,2))</f>
        <v/>
      </c>
      <c r="M13" s="15" t="n"/>
      <c r="N13" s="15" t="n"/>
      <c r="O13" s="12">
        <f>IF(C13="","",IFERROR(VLOOKUP(C13,Inventory!$A$2:$B$501,2,FALSE),"Unknown lot"))</f>
        <v/>
      </c>
      <c r="P13" s="12">
        <f>IF(D13="","",IFERROR(VLOOKUP(D13,Clients!$A$2:$B$501,2,FALSE),"Unknown client"))</f>
        <v/>
      </c>
      <c r="Q13" s="12">
        <f>IF(C13="","",IF(COUNTIF(Inventory!$A$2:$A$501,C13)&lt;&gt;1,"Check lot ID",IF(OR(A13="",B13="",E13="",F13=""),"Complete required fields",IF(COUNTIF($B$2:$B$501,B13)&gt;1,"Duplicate sale ID",IF(AND(D13&lt;&gt;"",COUNTIF(Clients!$A$2:$A$501,D13)&lt;&gt;1),"Check client ID",IF(VLOOKUP(C13,Inventory!$A$2:$L$501,12,FALSE)&lt;0,"OVER SOLD","OK"))))))</f>
        <v/>
      </c>
    </row>
    <row r="14" ht="23" customHeight="1">
      <c r="A14" s="17" t="n"/>
      <c r="B14" s="9" t="n"/>
      <c r="C14" s="9" t="n"/>
      <c r="D14" s="9" t="n"/>
      <c r="E14" s="10" t="n"/>
      <c r="F14" s="11" t="n"/>
      <c r="G14" s="13">
        <f>IF(C14="","",ROUND(E14*F14,2))</f>
        <v/>
      </c>
      <c r="H14" s="13">
        <f>IF(C14="","",IFERROR(VLOOKUP(C14,Inventory!$A$2:$J$501,9,FALSE),0))</f>
        <v/>
      </c>
      <c r="I14" s="13">
        <f>IF(C14="","",ROUND(E14*H14,2))</f>
        <v/>
      </c>
      <c r="J14" s="11" t="n"/>
      <c r="K14" s="11" t="n"/>
      <c r="L14" s="13">
        <f>IF(C14="","",ROUND(G14-I14-J14-K14,2))</f>
        <v/>
      </c>
      <c r="M14" s="10" t="n"/>
      <c r="N14" s="10" t="n"/>
      <c r="O14" s="12">
        <f>IF(C14="","",IFERROR(VLOOKUP(C14,Inventory!$A$2:$B$501,2,FALSE),"Unknown lot"))</f>
        <v/>
      </c>
      <c r="P14" s="12">
        <f>IF(D14="","",IFERROR(VLOOKUP(D14,Clients!$A$2:$B$501,2,FALSE),"Unknown client"))</f>
        <v/>
      </c>
      <c r="Q14" s="12">
        <f>IF(C14="","",IF(COUNTIF(Inventory!$A$2:$A$501,C14)&lt;&gt;1,"Check lot ID",IF(OR(A14="",B14="",E14="",F14=""),"Complete required fields",IF(COUNTIF($B$2:$B$501,B14)&gt;1,"Duplicate sale ID",IF(AND(D14&lt;&gt;"",COUNTIF(Clients!$A$2:$A$501,D14)&lt;&gt;1),"Check client ID",IF(VLOOKUP(C14,Inventory!$A$2:$L$501,12,FALSE)&lt;0,"OVER SOLD","OK"))))))</f>
        <v/>
      </c>
    </row>
    <row r="15" ht="23" customHeight="1">
      <c r="A15" s="18" t="n"/>
      <c r="B15" s="14" t="n"/>
      <c r="C15" s="14" t="n"/>
      <c r="D15" s="14" t="n"/>
      <c r="E15" s="15" t="n"/>
      <c r="F15" s="16" t="n"/>
      <c r="G15" s="13">
        <f>IF(C15="","",ROUND(E15*F15,2))</f>
        <v/>
      </c>
      <c r="H15" s="13">
        <f>IF(C15="","",IFERROR(VLOOKUP(C15,Inventory!$A$2:$J$501,9,FALSE),0))</f>
        <v/>
      </c>
      <c r="I15" s="13">
        <f>IF(C15="","",ROUND(E15*H15,2))</f>
        <v/>
      </c>
      <c r="J15" s="16" t="n"/>
      <c r="K15" s="16" t="n"/>
      <c r="L15" s="13">
        <f>IF(C15="","",ROUND(G15-I15-J15-K15,2))</f>
        <v/>
      </c>
      <c r="M15" s="15" t="n"/>
      <c r="N15" s="15" t="n"/>
      <c r="O15" s="12">
        <f>IF(C15="","",IFERROR(VLOOKUP(C15,Inventory!$A$2:$B$501,2,FALSE),"Unknown lot"))</f>
        <v/>
      </c>
      <c r="P15" s="12">
        <f>IF(D15="","",IFERROR(VLOOKUP(D15,Clients!$A$2:$B$501,2,FALSE),"Unknown client"))</f>
        <v/>
      </c>
      <c r="Q15" s="12">
        <f>IF(C15="","",IF(COUNTIF(Inventory!$A$2:$A$501,C15)&lt;&gt;1,"Check lot ID",IF(OR(A15="",B15="",E15="",F15=""),"Complete required fields",IF(COUNTIF($B$2:$B$501,B15)&gt;1,"Duplicate sale ID",IF(AND(D15&lt;&gt;"",COUNTIF(Clients!$A$2:$A$501,D15)&lt;&gt;1),"Check client ID",IF(VLOOKUP(C15,Inventory!$A$2:$L$501,12,FALSE)&lt;0,"OVER SOLD","OK"))))))</f>
        <v/>
      </c>
    </row>
    <row r="16" ht="23" customHeight="1">
      <c r="A16" s="17" t="n"/>
      <c r="B16" s="9" t="n"/>
      <c r="C16" s="9" t="n"/>
      <c r="D16" s="9" t="n"/>
      <c r="E16" s="10" t="n"/>
      <c r="F16" s="11" t="n"/>
      <c r="G16" s="13">
        <f>IF(C16="","",ROUND(E16*F16,2))</f>
        <v/>
      </c>
      <c r="H16" s="13">
        <f>IF(C16="","",IFERROR(VLOOKUP(C16,Inventory!$A$2:$J$501,9,FALSE),0))</f>
        <v/>
      </c>
      <c r="I16" s="13">
        <f>IF(C16="","",ROUND(E16*H16,2))</f>
        <v/>
      </c>
      <c r="J16" s="11" t="n"/>
      <c r="K16" s="11" t="n"/>
      <c r="L16" s="13">
        <f>IF(C16="","",ROUND(G16-I16-J16-K16,2))</f>
        <v/>
      </c>
      <c r="M16" s="10" t="n"/>
      <c r="N16" s="10" t="n"/>
      <c r="O16" s="12">
        <f>IF(C16="","",IFERROR(VLOOKUP(C16,Inventory!$A$2:$B$501,2,FALSE),"Unknown lot"))</f>
        <v/>
      </c>
      <c r="P16" s="12">
        <f>IF(D16="","",IFERROR(VLOOKUP(D16,Clients!$A$2:$B$501,2,FALSE),"Unknown client"))</f>
        <v/>
      </c>
      <c r="Q16" s="12">
        <f>IF(C16="","",IF(COUNTIF(Inventory!$A$2:$A$501,C16)&lt;&gt;1,"Check lot ID",IF(OR(A16="",B16="",E16="",F16=""),"Complete required fields",IF(COUNTIF($B$2:$B$501,B16)&gt;1,"Duplicate sale ID",IF(AND(D16&lt;&gt;"",COUNTIF(Clients!$A$2:$A$501,D16)&lt;&gt;1),"Check client ID",IF(VLOOKUP(C16,Inventory!$A$2:$L$501,12,FALSE)&lt;0,"OVER SOLD","OK"))))))</f>
        <v/>
      </c>
    </row>
    <row r="17" ht="23" customHeight="1">
      <c r="A17" s="18" t="n"/>
      <c r="B17" s="14" t="n"/>
      <c r="C17" s="14" t="n"/>
      <c r="D17" s="14" t="n"/>
      <c r="E17" s="15" t="n"/>
      <c r="F17" s="16" t="n"/>
      <c r="G17" s="13">
        <f>IF(C17="","",ROUND(E17*F17,2))</f>
        <v/>
      </c>
      <c r="H17" s="13">
        <f>IF(C17="","",IFERROR(VLOOKUP(C17,Inventory!$A$2:$J$501,9,FALSE),0))</f>
        <v/>
      </c>
      <c r="I17" s="13">
        <f>IF(C17="","",ROUND(E17*H17,2))</f>
        <v/>
      </c>
      <c r="J17" s="16" t="n"/>
      <c r="K17" s="16" t="n"/>
      <c r="L17" s="13">
        <f>IF(C17="","",ROUND(G17-I17-J17-K17,2))</f>
        <v/>
      </c>
      <c r="M17" s="15" t="n"/>
      <c r="N17" s="15" t="n"/>
      <c r="O17" s="12">
        <f>IF(C17="","",IFERROR(VLOOKUP(C17,Inventory!$A$2:$B$501,2,FALSE),"Unknown lot"))</f>
        <v/>
      </c>
      <c r="P17" s="12">
        <f>IF(D17="","",IFERROR(VLOOKUP(D17,Clients!$A$2:$B$501,2,FALSE),"Unknown client"))</f>
        <v/>
      </c>
      <c r="Q17" s="12">
        <f>IF(C17="","",IF(COUNTIF(Inventory!$A$2:$A$501,C17)&lt;&gt;1,"Check lot ID",IF(OR(A17="",B17="",E17="",F17=""),"Complete required fields",IF(COUNTIF($B$2:$B$501,B17)&gt;1,"Duplicate sale ID",IF(AND(D17&lt;&gt;"",COUNTIF(Clients!$A$2:$A$501,D17)&lt;&gt;1),"Check client ID",IF(VLOOKUP(C17,Inventory!$A$2:$L$501,12,FALSE)&lt;0,"OVER SOLD","OK"))))))</f>
        <v/>
      </c>
    </row>
    <row r="18" ht="23" customHeight="1">
      <c r="A18" s="17" t="n"/>
      <c r="B18" s="9" t="n"/>
      <c r="C18" s="9" t="n"/>
      <c r="D18" s="9" t="n"/>
      <c r="E18" s="10" t="n"/>
      <c r="F18" s="11" t="n"/>
      <c r="G18" s="13">
        <f>IF(C18="","",ROUND(E18*F18,2))</f>
        <v/>
      </c>
      <c r="H18" s="13">
        <f>IF(C18="","",IFERROR(VLOOKUP(C18,Inventory!$A$2:$J$501,9,FALSE),0))</f>
        <v/>
      </c>
      <c r="I18" s="13">
        <f>IF(C18="","",ROUND(E18*H18,2))</f>
        <v/>
      </c>
      <c r="J18" s="11" t="n"/>
      <c r="K18" s="11" t="n"/>
      <c r="L18" s="13">
        <f>IF(C18="","",ROUND(G18-I18-J18-K18,2))</f>
        <v/>
      </c>
      <c r="M18" s="10" t="n"/>
      <c r="N18" s="10" t="n"/>
      <c r="O18" s="12">
        <f>IF(C18="","",IFERROR(VLOOKUP(C18,Inventory!$A$2:$B$501,2,FALSE),"Unknown lot"))</f>
        <v/>
      </c>
      <c r="P18" s="12">
        <f>IF(D18="","",IFERROR(VLOOKUP(D18,Clients!$A$2:$B$501,2,FALSE),"Unknown client"))</f>
        <v/>
      </c>
      <c r="Q18" s="12">
        <f>IF(C18="","",IF(COUNTIF(Inventory!$A$2:$A$501,C18)&lt;&gt;1,"Check lot ID",IF(OR(A18="",B18="",E18="",F18=""),"Complete required fields",IF(COUNTIF($B$2:$B$501,B18)&gt;1,"Duplicate sale ID",IF(AND(D18&lt;&gt;"",COUNTIF(Clients!$A$2:$A$501,D18)&lt;&gt;1),"Check client ID",IF(VLOOKUP(C18,Inventory!$A$2:$L$501,12,FALSE)&lt;0,"OVER SOLD","OK"))))))</f>
        <v/>
      </c>
    </row>
    <row r="19" ht="23" customHeight="1">
      <c r="A19" s="18" t="n"/>
      <c r="B19" s="14" t="n"/>
      <c r="C19" s="14" t="n"/>
      <c r="D19" s="14" t="n"/>
      <c r="E19" s="15" t="n"/>
      <c r="F19" s="16" t="n"/>
      <c r="G19" s="13">
        <f>IF(C19="","",ROUND(E19*F19,2))</f>
        <v/>
      </c>
      <c r="H19" s="13">
        <f>IF(C19="","",IFERROR(VLOOKUP(C19,Inventory!$A$2:$J$501,9,FALSE),0))</f>
        <v/>
      </c>
      <c r="I19" s="13">
        <f>IF(C19="","",ROUND(E19*H19,2))</f>
        <v/>
      </c>
      <c r="J19" s="16" t="n"/>
      <c r="K19" s="16" t="n"/>
      <c r="L19" s="13">
        <f>IF(C19="","",ROUND(G19-I19-J19-K19,2))</f>
        <v/>
      </c>
      <c r="M19" s="15" t="n"/>
      <c r="N19" s="15" t="n"/>
      <c r="O19" s="12">
        <f>IF(C19="","",IFERROR(VLOOKUP(C19,Inventory!$A$2:$B$501,2,FALSE),"Unknown lot"))</f>
        <v/>
      </c>
      <c r="P19" s="12">
        <f>IF(D19="","",IFERROR(VLOOKUP(D19,Clients!$A$2:$B$501,2,FALSE),"Unknown client"))</f>
        <v/>
      </c>
      <c r="Q19" s="12">
        <f>IF(C19="","",IF(COUNTIF(Inventory!$A$2:$A$501,C19)&lt;&gt;1,"Check lot ID",IF(OR(A19="",B19="",E19="",F19=""),"Complete required fields",IF(COUNTIF($B$2:$B$501,B19)&gt;1,"Duplicate sale ID",IF(AND(D19&lt;&gt;"",COUNTIF(Clients!$A$2:$A$501,D19)&lt;&gt;1),"Check client ID",IF(VLOOKUP(C19,Inventory!$A$2:$L$501,12,FALSE)&lt;0,"OVER SOLD","OK"))))))</f>
        <v/>
      </c>
    </row>
    <row r="20" ht="23" customHeight="1">
      <c r="A20" s="17" t="n"/>
      <c r="B20" s="9" t="n"/>
      <c r="C20" s="9" t="n"/>
      <c r="D20" s="9" t="n"/>
      <c r="E20" s="10" t="n"/>
      <c r="F20" s="11" t="n"/>
      <c r="G20" s="13">
        <f>IF(C20="","",ROUND(E20*F20,2))</f>
        <v/>
      </c>
      <c r="H20" s="13">
        <f>IF(C20="","",IFERROR(VLOOKUP(C20,Inventory!$A$2:$J$501,9,FALSE),0))</f>
        <v/>
      </c>
      <c r="I20" s="13">
        <f>IF(C20="","",ROUND(E20*H20,2))</f>
        <v/>
      </c>
      <c r="J20" s="11" t="n"/>
      <c r="K20" s="11" t="n"/>
      <c r="L20" s="13">
        <f>IF(C20="","",ROUND(G20-I20-J20-K20,2))</f>
        <v/>
      </c>
      <c r="M20" s="10" t="n"/>
      <c r="N20" s="10" t="n"/>
      <c r="O20" s="12">
        <f>IF(C20="","",IFERROR(VLOOKUP(C20,Inventory!$A$2:$B$501,2,FALSE),"Unknown lot"))</f>
        <v/>
      </c>
      <c r="P20" s="12">
        <f>IF(D20="","",IFERROR(VLOOKUP(D20,Clients!$A$2:$B$501,2,FALSE),"Unknown client"))</f>
        <v/>
      </c>
      <c r="Q20" s="12">
        <f>IF(C20="","",IF(COUNTIF(Inventory!$A$2:$A$501,C20)&lt;&gt;1,"Check lot ID",IF(OR(A20="",B20="",E20="",F20=""),"Complete required fields",IF(COUNTIF($B$2:$B$501,B20)&gt;1,"Duplicate sale ID",IF(AND(D20&lt;&gt;"",COUNTIF(Clients!$A$2:$A$501,D20)&lt;&gt;1),"Check client ID",IF(VLOOKUP(C20,Inventory!$A$2:$L$501,12,FALSE)&lt;0,"OVER SOLD","OK"))))))</f>
        <v/>
      </c>
    </row>
    <row r="21" ht="23" customHeight="1">
      <c r="A21" s="18" t="n"/>
      <c r="B21" s="14" t="n"/>
      <c r="C21" s="14" t="n"/>
      <c r="D21" s="14" t="n"/>
      <c r="E21" s="15" t="n"/>
      <c r="F21" s="16" t="n"/>
      <c r="G21" s="13">
        <f>IF(C21="","",ROUND(E21*F21,2))</f>
        <v/>
      </c>
      <c r="H21" s="13">
        <f>IF(C21="","",IFERROR(VLOOKUP(C21,Inventory!$A$2:$J$501,9,FALSE),0))</f>
        <v/>
      </c>
      <c r="I21" s="13">
        <f>IF(C21="","",ROUND(E21*H21,2))</f>
        <v/>
      </c>
      <c r="J21" s="16" t="n"/>
      <c r="K21" s="16" t="n"/>
      <c r="L21" s="13">
        <f>IF(C21="","",ROUND(G21-I21-J21-K21,2))</f>
        <v/>
      </c>
      <c r="M21" s="15" t="n"/>
      <c r="N21" s="15" t="n"/>
      <c r="O21" s="12">
        <f>IF(C21="","",IFERROR(VLOOKUP(C21,Inventory!$A$2:$B$501,2,FALSE),"Unknown lot"))</f>
        <v/>
      </c>
      <c r="P21" s="12">
        <f>IF(D21="","",IFERROR(VLOOKUP(D21,Clients!$A$2:$B$501,2,FALSE),"Unknown client"))</f>
        <v/>
      </c>
      <c r="Q21" s="12">
        <f>IF(C21="","",IF(COUNTIF(Inventory!$A$2:$A$501,C21)&lt;&gt;1,"Check lot ID",IF(OR(A21="",B21="",E21="",F21=""),"Complete required fields",IF(COUNTIF($B$2:$B$501,B21)&gt;1,"Duplicate sale ID",IF(AND(D21&lt;&gt;"",COUNTIF(Clients!$A$2:$A$501,D21)&lt;&gt;1),"Check client ID",IF(VLOOKUP(C21,Inventory!$A$2:$L$501,12,FALSE)&lt;0,"OVER SOLD","OK"))))))</f>
        <v/>
      </c>
    </row>
    <row r="22" ht="23" customHeight="1">
      <c r="A22" s="17" t="n"/>
      <c r="B22" s="9" t="n"/>
      <c r="C22" s="9" t="n"/>
      <c r="D22" s="9" t="n"/>
      <c r="E22" s="10" t="n"/>
      <c r="F22" s="11" t="n"/>
      <c r="G22" s="13">
        <f>IF(C22="","",ROUND(E22*F22,2))</f>
        <v/>
      </c>
      <c r="H22" s="13">
        <f>IF(C22="","",IFERROR(VLOOKUP(C22,Inventory!$A$2:$J$501,9,FALSE),0))</f>
        <v/>
      </c>
      <c r="I22" s="13">
        <f>IF(C22="","",ROUND(E22*H22,2))</f>
        <v/>
      </c>
      <c r="J22" s="11" t="n"/>
      <c r="K22" s="11" t="n"/>
      <c r="L22" s="13">
        <f>IF(C22="","",ROUND(G22-I22-J22-K22,2))</f>
        <v/>
      </c>
      <c r="M22" s="10" t="n"/>
      <c r="N22" s="10" t="n"/>
      <c r="O22" s="12">
        <f>IF(C22="","",IFERROR(VLOOKUP(C22,Inventory!$A$2:$B$501,2,FALSE),"Unknown lot"))</f>
        <v/>
      </c>
      <c r="P22" s="12">
        <f>IF(D22="","",IFERROR(VLOOKUP(D22,Clients!$A$2:$B$501,2,FALSE),"Unknown client"))</f>
        <v/>
      </c>
      <c r="Q22" s="12">
        <f>IF(C22="","",IF(COUNTIF(Inventory!$A$2:$A$501,C22)&lt;&gt;1,"Check lot ID",IF(OR(A22="",B22="",E22="",F22=""),"Complete required fields",IF(COUNTIF($B$2:$B$501,B22)&gt;1,"Duplicate sale ID",IF(AND(D22&lt;&gt;"",COUNTIF(Clients!$A$2:$A$501,D22)&lt;&gt;1),"Check client ID",IF(VLOOKUP(C22,Inventory!$A$2:$L$501,12,FALSE)&lt;0,"OVER SOLD","OK"))))))</f>
        <v/>
      </c>
    </row>
    <row r="23" ht="23" customHeight="1">
      <c r="A23" s="18" t="n"/>
      <c r="B23" s="14" t="n"/>
      <c r="C23" s="14" t="n"/>
      <c r="D23" s="14" t="n"/>
      <c r="E23" s="15" t="n"/>
      <c r="F23" s="16" t="n"/>
      <c r="G23" s="13">
        <f>IF(C23="","",ROUND(E23*F23,2))</f>
        <v/>
      </c>
      <c r="H23" s="13">
        <f>IF(C23="","",IFERROR(VLOOKUP(C23,Inventory!$A$2:$J$501,9,FALSE),0))</f>
        <v/>
      </c>
      <c r="I23" s="13">
        <f>IF(C23="","",ROUND(E23*H23,2))</f>
        <v/>
      </c>
      <c r="J23" s="16" t="n"/>
      <c r="K23" s="16" t="n"/>
      <c r="L23" s="13">
        <f>IF(C23="","",ROUND(G23-I23-J23-K23,2))</f>
        <v/>
      </c>
      <c r="M23" s="15" t="n"/>
      <c r="N23" s="15" t="n"/>
      <c r="O23" s="12">
        <f>IF(C23="","",IFERROR(VLOOKUP(C23,Inventory!$A$2:$B$501,2,FALSE),"Unknown lot"))</f>
        <v/>
      </c>
      <c r="P23" s="12">
        <f>IF(D23="","",IFERROR(VLOOKUP(D23,Clients!$A$2:$B$501,2,FALSE),"Unknown client"))</f>
        <v/>
      </c>
      <c r="Q23" s="12">
        <f>IF(C23="","",IF(COUNTIF(Inventory!$A$2:$A$501,C23)&lt;&gt;1,"Check lot ID",IF(OR(A23="",B23="",E23="",F23=""),"Complete required fields",IF(COUNTIF($B$2:$B$501,B23)&gt;1,"Duplicate sale ID",IF(AND(D23&lt;&gt;"",COUNTIF(Clients!$A$2:$A$501,D23)&lt;&gt;1),"Check client ID",IF(VLOOKUP(C23,Inventory!$A$2:$L$501,12,FALSE)&lt;0,"OVER SOLD","OK"))))))</f>
        <v/>
      </c>
    </row>
    <row r="24" ht="23" customHeight="1">
      <c r="A24" s="17" t="n"/>
      <c r="B24" s="9" t="n"/>
      <c r="C24" s="9" t="n"/>
      <c r="D24" s="9" t="n"/>
      <c r="E24" s="10" t="n"/>
      <c r="F24" s="11" t="n"/>
      <c r="G24" s="13">
        <f>IF(C24="","",ROUND(E24*F24,2))</f>
        <v/>
      </c>
      <c r="H24" s="13">
        <f>IF(C24="","",IFERROR(VLOOKUP(C24,Inventory!$A$2:$J$501,9,FALSE),0))</f>
        <v/>
      </c>
      <c r="I24" s="13">
        <f>IF(C24="","",ROUND(E24*H24,2))</f>
        <v/>
      </c>
      <c r="J24" s="11" t="n"/>
      <c r="K24" s="11" t="n"/>
      <c r="L24" s="13">
        <f>IF(C24="","",ROUND(G24-I24-J24-K24,2))</f>
        <v/>
      </c>
      <c r="M24" s="10" t="n"/>
      <c r="N24" s="10" t="n"/>
      <c r="O24" s="12">
        <f>IF(C24="","",IFERROR(VLOOKUP(C24,Inventory!$A$2:$B$501,2,FALSE),"Unknown lot"))</f>
        <v/>
      </c>
      <c r="P24" s="12">
        <f>IF(D24="","",IFERROR(VLOOKUP(D24,Clients!$A$2:$B$501,2,FALSE),"Unknown client"))</f>
        <v/>
      </c>
      <c r="Q24" s="12">
        <f>IF(C24="","",IF(COUNTIF(Inventory!$A$2:$A$501,C24)&lt;&gt;1,"Check lot ID",IF(OR(A24="",B24="",E24="",F24=""),"Complete required fields",IF(COUNTIF($B$2:$B$501,B24)&gt;1,"Duplicate sale ID",IF(AND(D24&lt;&gt;"",COUNTIF(Clients!$A$2:$A$501,D24)&lt;&gt;1),"Check client ID",IF(VLOOKUP(C24,Inventory!$A$2:$L$501,12,FALSE)&lt;0,"OVER SOLD","OK"))))))</f>
        <v/>
      </c>
    </row>
    <row r="25" ht="23" customHeight="1">
      <c r="A25" s="18" t="n"/>
      <c r="B25" s="14" t="n"/>
      <c r="C25" s="14" t="n"/>
      <c r="D25" s="14" t="n"/>
      <c r="E25" s="15" t="n"/>
      <c r="F25" s="16" t="n"/>
      <c r="G25" s="13">
        <f>IF(C25="","",ROUND(E25*F25,2))</f>
        <v/>
      </c>
      <c r="H25" s="13">
        <f>IF(C25="","",IFERROR(VLOOKUP(C25,Inventory!$A$2:$J$501,9,FALSE),0))</f>
        <v/>
      </c>
      <c r="I25" s="13">
        <f>IF(C25="","",ROUND(E25*H25,2))</f>
        <v/>
      </c>
      <c r="J25" s="16" t="n"/>
      <c r="K25" s="16" t="n"/>
      <c r="L25" s="13">
        <f>IF(C25="","",ROUND(G25-I25-J25-K25,2))</f>
        <v/>
      </c>
      <c r="M25" s="15" t="n"/>
      <c r="N25" s="15" t="n"/>
      <c r="O25" s="12">
        <f>IF(C25="","",IFERROR(VLOOKUP(C25,Inventory!$A$2:$B$501,2,FALSE),"Unknown lot"))</f>
        <v/>
      </c>
      <c r="P25" s="12">
        <f>IF(D25="","",IFERROR(VLOOKUP(D25,Clients!$A$2:$B$501,2,FALSE),"Unknown client"))</f>
        <v/>
      </c>
      <c r="Q25" s="12">
        <f>IF(C25="","",IF(COUNTIF(Inventory!$A$2:$A$501,C25)&lt;&gt;1,"Check lot ID",IF(OR(A25="",B25="",E25="",F25=""),"Complete required fields",IF(COUNTIF($B$2:$B$501,B25)&gt;1,"Duplicate sale ID",IF(AND(D25&lt;&gt;"",COUNTIF(Clients!$A$2:$A$501,D25)&lt;&gt;1),"Check client ID",IF(VLOOKUP(C25,Inventory!$A$2:$L$501,12,FALSE)&lt;0,"OVER SOLD","OK"))))))</f>
        <v/>
      </c>
    </row>
    <row r="26" ht="23" customHeight="1">
      <c r="A26" s="17" t="n"/>
      <c r="B26" s="9" t="n"/>
      <c r="C26" s="9" t="n"/>
      <c r="D26" s="9" t="n"/>
      <c r="E26" s="10" t="n"/>
      <c r="F26" s="11" t="n"/>
      <c r="G26" s="13">
        <f>IF(C26="","",ROUND(E26*F26,2))</f>
        <v/>
      </c>
      <c r="H26" s="13">
        <f>IF(C26="","",IFERROR(VLOOKUP(C26,Inventory!$A$2:$J$501,9,FALSE),0))</f>
        <v/>
      </c>
      <c r="I26" s="13">
        <f>IF(C26="","",ROUND(E26*H26,2))</f>
        <v/>
      </c>
      <c r="J26" s="11" t="n"/>
      <c r="K26" s="11" t="n"/>
      <c r="L26" s="13">
        <f>IF(C26="","",ROUND(G26-I26-J26-K26,2))</f>
        <v/>
      </c>
      <c r="M26" s="10" t="n"/>
      <c r="N26" s="10" t="n"/>
      <c r="O26" s="12">
        <f>IF(C26="","",IFERROR(VLOOKUP(C26,Inventory!$A$2:$B$501,2,FALSE),"Unknown lot"))</f>
        <v/>
      </c>
      <c r="P26" s="12">
        <f>IF(D26="","",IFERROR(VLOOKUP(D26,Clients!$A$2:$B$501,2,FALSE),"Unknown client"))</f>
        <v/>
      </c>
      <c r="Q26" s="12">
        <f>IF(C26="","",IF(COUNTIF(Inventory!$A$2:$A$501,C26)&lt;&gt;1,"Check lot ID",IF(OR(A26="",B26="",E26="",F26=""),"Complete required fields",IF(COUNTIF($B$2:$B$501,B26)&gt;1,"Duplicate sale ID",IF(AND(D26&lt;&gt;"",COUNTIF(Clients!$A$2:$A$501,D26)&lt;&gt;1),"Check client ID",IF(VLOOKUP(C26,Inventory!$A$2:$L$501,12,FALSE)&lt;0,"OVER SOLD","OK"))))))</f>
        <v/>
      </c>
    </row>
    <row r="27" ht="23" customHeight="1">
      <c r="A27" s="18" t="n"/>
      <c r="B27" s="14" t="n"/>
      <c r="C27" s="14" t="n"/>
      <c r="D27" s="14" t="n"/>
      <c r="E27" s="15" t="n"/>
      <c r="F27" s="16" t="n"/>
      <c r="G27" s="13">
        <f>IF(C27="","",ROUND(E27*F27,2))</f>
        <v/>
      </c>
      <c r="H27" s="13">
        <f>IF(C27="","",IFERROR(VLOOKUP(C27,Inventory!$A$2:$J$501,9,FALSE),0))</f>
        <v/>
      </c>
      <c r="I27" s="13">
        <f>IF(C27="","",ROUND(E27*H27,2))</f>
        <v/>
      </c>
      <c r="J27" s="16" t="n"/>
      <c r="K27" s="16" t="n"/>
      <c r="L27" s="13">
        <f>IF(C27="","",ROUND(G27-I27-J27-K27,2))</f>
        <v/>
      </c>
      <c r="M27" s="15" t="n"/>
      <c r="N27" s="15" t="n"/>
      <c r="O27" s="12">
        <f>IF(C27="","",IFERROR(VLOOKUP(C27,Inventory!$A$2:$B$501,2,FALSE),"Unknown lot"))</f>
        <v/>
      </c>
      <c r="P27" s="12">
        <f>IF(D27="","",IFERROR(VLOOKUP(D27,Clients!$A$2:$B$501,2,FALSE),"Unknown client"))</f>
        <v/>
      </c>
      <c r="Q27" s="12">
        <f>IF(C27="","",IF(COUNTIF(Inventory!$A$2:$A$501,C27)&lt;&gt;1,"Check lot ID",IF(OR(A27="",B27="",E27="",F27=""),"Complete required fields",IF(COUNTIF($B$2:$B$501,B27)&gt;1,"Duplicate sale ID",IF(AND(D27&lt;&gt;"",COUNTIF(Clients!$A$2:$A$501,D27)&lt;&gt;1),"Check client ID",IF(VLOOKUP(C27,Inventory!$A$2:$L$501,12,FALSE)&lt;0,"OVER SOLD","OK"))))))</f>
        <v/>
      </c>
    </row>
    <row r="28" ht="23" customHeight="1">
      <c r="A28" s="17" t="n"/>
      <c r="B28" s="9" t="n"/>
      <c r="C28" s="9" t="n"/>
      <c r="D28" s="9" t="n"/>
      <c r="E28" s="10" t="n"/>
      <c r="F28" s="11" t="n"/>
      <c r="G28" s="13">
        <f>IF(C28="","",ROUND(E28*F28,2))</f>
        <v/>
      </c>
      <c r="H28" s="13">
        <f>IF(C28="","",IFERROR(VLOOKUP(C28,Inventory!$A$2:$J$501,9,FALSE),0))</f>
        <v/>
      </c>
      <c r="I28" s="13">
        <f>IF(C28="","",ROUND(E28*H28,2))</f>
        <v/>
      </c>
      <c r="J28" s="11" t="n"/>
      <c r="K28" s="11" t="n"/>
      <c r="L28" s="13">
        <f>IF(C28="","",ROUND(G28-I28-J28-K28,2))</f>
        <v/>
      </c>
      <c r="M28" s="10" t="n"/>
      <c r="N28" s="10" t="n"/>
      <c r="O28" s="12">
        <f>IF(C28="","",IFERROR(VLOOKUP(C28,Inventory!$A$2:$B$501,2,FALSE),"Unknown lot"))</f>
        <v/>
      </c>
      <c r="P28" s="12">
        <f>IF(D28="","",IFERROR(VLOOKUP(D28,Clients!$A$2:$B$501,2,FALSE),"Unknown client"))</f>
        <v/>
      </c>
      <c r="Q28" s="12">
        <f>IF(C28="","",IF(COUNTIF(Inventory!$A$2:$A$501,C28)&lt;&gt;1,"Check lot ID",IF(OR(A28="",B28="",E28="",F28=""),"Complete required fields",IF(COUNTIF($B$2:$B$501,B28)&gt;1,"Duplicate sale ID",IF(AND(D28&lt;&gt;"",COUNTIF(Clients!$A$2:$A$501,D28)&lt;&gt;1),"Check client ID",IF(VLOOKUP(C28,Inventory!$A$2:$L$501,12,FALSE)&lt;0,"OVER SOLD","OK"))))))</f>
        <v/>
      </c>
    </row>
    <row r="29" ht="23" customHeight="1">
      <c r="A29" s="18" t="n"/>
      <c r="B29" s="14" t="n"/>
      <c r="C29" s="14" t="n"/>
      <c r="D29" s="14" t="n"/>
      <c r="E29" s="15" t="n"/>
      <c r="F29" s="16" t="n"/>
      <c r="G29" s="13">
        <f>IF(C29="","",ROUND(E29*F29,2))</f>
        <v/>
      </c>
      <c r="H29" s="13">
        <f>IF(C29="","",IFERROR(VLOOKUP(C29,Inventory!$A$2:$J$501,9,FALSE),0))</f>
        <v/>
      </c>
      <c r="I29" s="13">
        <f>IF(C29="","",ROUND(E29*H29,2))</f>
        <v/>
      </c>
      <c r="J29" s="16" t="n"/>
      <c r="K29" s="16" t="n"/>
      <c r="L29" s="13">
        <f>IF(C29="","",ROUND(G29-I29-J29-K29,2))</f>
        <v/>
      </c>
      <c r="M29" s="15" t="n"/>
      <c r="N29" s="15" t="n"/>
      <c r="O29" s="12">
        <f>IF(C29="","",IFERROR(VLOOKUP(C29,Inventory!$A$2:$B$501,2,FALSE),"Unknown lot"))</f>
        <v/>
      </c>
      <c r="P29" s="12">
        <f>IF(D29="","",IFERROR(VLOOKUP(D29,Clients!$A$2:$B$501,2,FALSE),"Unknown client"))</f>
        <v/>
      </c>
      <c r="Q29" s="12">
        <f>IF(C29="","",IF(COUNTIF(Inventory!$A$2:$A$501,C29)&lt;&gt;1,"Check lot ID",IF(OR(A29="",B29="",E29="",F29=""),"Complete required fields",IF(COUNTIF($B$2:$B$501,B29)&gt;1,"Duplicate sale ID",IF(AND(D29&lt;&gt;"",COUNTIF(Clients!$A$2:$A$501,D29)&lt;&gt;1),"Check client ID",IF(VLOOKUP(C29,Inventory!$A$2:$L$501,12,FALSE)&lt;0,"OVER SOLD","OK"))))))</f>
        <v/>
      </c>
    </row>
    <row r="30" ht="23" customHeight="1">
      <c r="A30" s="17" t="n"/>
      <c r="B30" s="9" t="n"/>
      <c r="C30" s="9" t="n"/>
      <c r="D30" s="9" t="n"/>
      <c r="E30" s="10" t="n"/>
      <c r="F30" s="11" t="n"/>
      <c r="G30" s="13">
        <f>IF(C30="","",ROUND(E30*F30,2))</f>
        <v/>
      </c>
      <c r="H30" s="13">
        <f>IF(C30="","",IFERROR(VLOOKUP(C30,Inventory!$A$2:$J$501,9,FALSE),0))</f>
        <v/>
      </c>
      <c r="I30" s="13">
        <f>IF(C30="","",ROUND(E30*H30,2))</f>
        <v/>
      </c>
      <c r="J30" s="11" t="n"/>
      <c r="K30" s="11" t="n"/>
      <c r="L30" s="13">
        <f>IF(C30="","",ROUND(G30-I30-J30-K30,2))</f>
        <v/>
      </c>
      <c r="M30" s="10" t="n"/>
      <c r="N30" s="10" t="n"/>
      <c r="O30" s="12">
        <f>IF(C30="","",IFERROR(VLOOKUP(C30,Inventory!$A$2:$B$501,2,FALSE),"Unknown lot"))</f>
        <v/>
      </c>
      <c r="P30" s="12">
        <f>IF(D30="","",IFERROR(VLOOKUP(D30,Clients!$A$2:$B$501,2,FALSE),"Unknown client"))</f>
        <v/>
      </c>
      <c r="Q30" s="12">
        <f>IF(C30="","",IF(COUNTIF(Inventory!$A$2:$A$501,C30)&lt;&gt;1,"Check lot ID",IF(OR(A30="",B30="",E30="",F30=""),"Complete required fields",IF(COUNTIF($B$2:$B$501,B30)&gt;1,"Duplicate sale ID",IF(AND(D30&lt;&gt;"",COUNTIF(Clients!$A$2:$A$501,D30)&lt;&gt;1),"Check client ID",IF(VLOOKUP(C30,Inventory!$A$2:$L$501,12,FALSE)&lt;0,"OVER SOLD","OK"))))))</f>
        <v/>
      </c>
    </row>
    <row r="31" ht="23" customHeight="1">
      <c r="A31" s="18" t="n"/>
      <c r="B31" s="14" t="n"/>
      <c r="C31" s="14" t="n"/>
      <c r="D31" s="14" t="n"/>
      <c r="E31" s="15" t="n"/>
      <c r="F31" s="16" t="n"/>
      <c r="G31" s="13">
        <f>IF(C31="","",ROUND(E31*F31,2))</f>
        <v/>
      </c>
      <c r="H31" s="13">
        <f>IF(C31="","",IFERROR(VLOOKUP(C31,Inventory!$A$2:$J$501,9,FALSE),0))</f>
        <v/>
      </c>
      <c r="I31" s="13">
        <f>IF(C31="","",ROUND(E31*H31,2))</f>
        <v/>
      </c>
      <c r="J31" s="16" t="n"/>
      <c r="K31" s="16" t="n"/>
      <c r="L31" s="13">
        <f>IF(C31="","",ROUND(G31-I31-J31-K31,2))</f>
        <v/>
      </c>
      <c r="M31" s="15" t="n"/>
      <c r="N31" s="15" t="n"/>
      <c r="O31" s="12">
        <f>IF(C31="","",IFERROR(VLOOKUP(C31,Inventory!$A$2:$B$501,2,FALSE),"Unknown lot"))</f>
        <v/>
      </c>
      <c r="P31" s="12">
        <f>IF(D31="","",IFERROR(VLOOKUP(D31,Clients!$A$2:$B$501,2,FALSE),"Unknown client"))</f>
        <v/>
      </c>
      <c r="Q31" s="12">
        <f>IF(C31="","",IF(COUNTIF(Inventory!$A$2:$A$501,C31)&lt;&gt;1,"Check lot ID",IF(OR(A31="",B31="",E31="",F31=""),"Complete required fields",IF(COUNTIF($B$2:$B$501,B31)&gt;1,"Duplicate sale ID",IF(AND(D31&lt;&gt;"",COUNTIF(Clients!$A$2:$A$501,D31)&lt;&gt;1),"Check client ID",IF(VLOOKUP(C31,Inventory!$A$2:$L$501,12,FALSE)&lt;0,"OVER SOLD","OK"))))))</f>
        <v/>
      </c>
    </row>
    <row r="32" ht="23" customHeight="1">
      <c r="A32" s="17" t="n"/>
      <c r="B32" s="9" t="n"/>
      <c r="C32" s="9" t="n"/>
      <c r="D32" s="9" t="n"/>
      <c r="E32" s="10" t="n"/>
      <c r="F32" s="11" t="n"/>
      <c r="G32" s="13">
        <f>IF(C32="","",ROUND(E32*F32,2))</f>
        <v/>
      </c>
      <c r="H32" s="13">
        <f>IF(C32="","",IFERROR(VLOOKUP(C32,Inventory!$A$2:$J$501,9,FALSE),0))</f>
        <v/>
      </c>
      <c r="I32" s="13">
        <f>IF(C32="","",ROUND(E32*H32,2))</f>
        <v/>
      </c>
      <c r="J32" s="11" t="n"/>
      <c r="K32" s="11" t="n"/>
      <c r="L32" s="13">
        <f>IF(C32="","",ROUND(G32-I32-J32-K32,2))</f>
        <v/>
      </c>
      <c r="M32" s="10" t="n"/>
      <c r="N32" s="10" t="n"/>
      <c r="O32" s="12">
        <f>IF(C32="","",IFERROR(VLOOKUP(C32,Inventory!$A$2:$B$501,2,FALSE),"Unknown lot"))</f>
        <v/>
      </c>
      <c r="P32" s="12">
        <f>IF(D32="","",IFERROR(VLOOKUP(D32,Clients!$A$2:$B$501,2,FALSE),"Unknown client"))</f>
        <v/>
      </c>
      <c r="Q32" s="12">
        <f>IF(C32="","",IF(COUNTIF(Inventory!$A$2:$A$501,C32)&lt;&gt;1,"Check lot ID",IF(OR(A32="",B32="",E32="",F32=""),"Complete required fields",IF(COUNTIF($B$2:$B$501,B32)&gt;1,"Duplicate sale ID",IF(AND(D32&lt;&gt;"",COUNTIF(Clients!$A$2:$A$501,D32)&lt;&gt;1),"Check client ID",IF(VLOOKUP(C32,Inventory!$A$2:$L$501,12,FALSE)&lt;0,"OVER SOLD","OK"))))))</f>
        <v/>
      </c>
    </row>
    <row r="33" ht="23" customHeight="1">
      <c r="A33" s="18" t="n"/>
      <c r="B33" s="14" t="n"/>
      <c r="C33" s="14" t="n"/>
      <c r="D33" s="14" t="n"/>
      <c r="E33" s="15" t="n"/>
      <c r="F33" s="16" t="n"/>
      <c r="G33" s="13">
        <f>IF(C33="","",ROUND(E33*F33,2))</f>
        <v/>
      </c>
      <c r="H33" s="13">
        <f>IF(C33="","",IFERROR(VLOOKUP(C33,Inventory!$A$2:$J$501,9,FALSE),0))</f>
        <v/>
      </c>
      <c r="I33" s="13">
        <f>IF(C33="","",ROUND(E33*H33,2))</f>
        <v/>
      </c>
      <c r="J33" s="16" t="n"/>
      <c r="K33" s="16" t="n"/>
      <c r="L33" s="13">
        <f>IF(C33="","",ROUND(G33-I33-J33-K33,2))</f>
        <v/>
      </c>
      <c r="M33" s="15" t="n"/>
      <c r="N33" s="15" t="n"/>
      <c r="O33" s="12">
        <f>IF(C33="","",IFERROR(VLOOKUP(C33,Inventory!$A$2:$B$501,2,FALSE),"Unknown lot"))</f>
        <v/>
      </c>
      <c r="P33" s="12">
        <f>IF(D33="","",IFERROR(VLOOKUP(D33,Clients!$A$2:$B$501,2,FALSE),"Unknown client"))</f>
        <v/>
      </c>
      <c r="Q33" s="12">
        <f>IF(C33="","",IF(COUNTIF(Inventory!$A$2:$A$501,C33)&lt;&gt;1,"Check lot ID",IF(OR(A33="",B33="",E33="",F33=""),"Complete required fields",IF(COUNTIF($B$2:$B$501,B33)&gt;1,"Duplicate sale ID",IF(AND(D33&lt;&gt;"",COUNTIF(Clients!$A$2:$A$501,D33)&lt;&gt;1),"Check client ID",IF(VLOOKUP(C33,Inventory!$A$2:$L$501,12,FALSE)&lt;0,"OVER SOLD","OK"))))))</f>
        <v/>
      </c>
    </row>
    <row r="34" ht="23" customHeight="1">
      <c r="A34" s="17" t="n"/>
      <c r="B34" s="9" t="n"/>
      <c r="C34" s="9" t="n"/>
      <c r="D34" s="9" t="n"/>
      <c r="E34" s="10" t="n"/>
      <c r="F34" s="11" t="n"/>
      <c r="G34" s="13">
        <f>IF(C34="","",ROUND(E34*F34,2))</f>
        <v/>
      </c>
      <c r="H34" s="13">
        <f>IF(C34="","",IFERROR(VLOOKUP(C34,Inventory!$A$2:$J$501,9,FALSE),0))</f>
        <v/>
      </c>
      <c r="I34" s="13">
        <f>IF(C34="","",ROUND(E34*H34,2))</f>
        <v/>
      </c>
      <c r="J34" s="11" t="n"/>
      <c r="K34" s="11" t="n"/>
      <c r="L34" s="13">
        <f>IF(C34="","",ROUND(G34-I34-J34-K34,2))</f>
        <v/>
      </c>
      <c r="M34" s="10" t="n"/>
      <c r="N34" s="10" t="n"/>
      <c r="O34" s="12">
        <f>IF(C34="","",IFERROR(VLOOKUP(C34,Inventory!$A$2:$B$501,2,FALSE),"Unknown lot"))</f>
        <v/>
      </c>
      <c r="P34" s="12">
        <f>IF(D34="","",IFERROR(VLOOKUP(D34,Clients!$A$2:$B$501,2,FALSE),"Unknown client"))</f>
        <v/>
      </c>
      <c r="Q34" s="12">
        <f>IF(C34="","",IF(COUNTIF(Inventory!$A$2:$A$501,C34)&lt;&gt;1,"Check lot ID",IF(OR(A34="",B34="",E34="",F34=""),"Complete required fields",IF(COUNTIF($B$2:$B$501,B34)&gt;1,"Duplicate sale ID",IF(AND(D34&lt;&gt;"",COUNTIF(Clients!$A$2:$A$501,D34)&lt;&gt;1),"Check client ID",IF(VLOOKUP(C34,Inventory!$A$2:$L$501,12,FALSE)&lt;0,"OVER SOLD","OK"))))))</f>
        <v/>
      </c>
    </row>
    <row r="35" ht="23" customHeight="1">
      <c r="A35" s="18" t="n"/>
      <c r="B35" s="14" t="n"/>
      <c r="C35" s="14" t="n"/>
      <c r="D35" s="14" t="n"/>
      <c r="E35" s="15" t="n"/>
      <c r="F35" s="16" t="n"/>
      <c r="G35" s="13">
        <f>IF(C35="","",ROUND(E35*F35,2))</f>
        <v/>
      </c>
      <c r="H35" s="13">
        <f>IF(C35="","",IFERROR(VLOOKUP(C35,Inventory!$A$2:$J$501,9,FALSE),0))</f>
        <v/>
      </c>
      <c r="I35" s="13">
        <f>IF(C35="","",ROUND(E35*H35,2))</f>
        <v/>
      </c>
      <c r="J35" s="16" t="n"/>
      <c r="K35" s="16" t="n"/>
      <c r="L35" s="13">
        <f>IF(C35="","",ROUND(G35-I35-J35-K35,2))</f>
        <v/>
      </c>
      <c r="M35" s="15" t="n"/>
      <c r="N35" s="15" t="n"/>
      <c r="O35" s="12">
        <f>IF(C35="","",IFERROR(VLOOKUP(C35,Inventory!$A$2:$B$501,2,FALSE),"Unknown lot"))</f>
        <v/>
      </c>
      <c r="P35" s="12">
        <f>IF(D35="","",IFERROR(VLOOKUP(D35,Clients!$A$2:$B$501,2,FALSE),"Unknown client"))</f>
        <v/>
      </c>
      <c r="Q35" s="12">
        <f>IF(C35="","",IF(COUNTIF(Inventory!$A$2:$A$501,C35)&lt;&gt;1,"Check lot ID",IF(OR(A35="",B35="",E35="",F35=""),"Complete required fields",IF(COUNTIF($B$2:$B$501,B35)&gt;1,"Duplicate sale ID",IF(AND(D35&lt;&gt;"",COUNTIF(Clients!$A$2:$A$501,D35)&lt;&gt;1),"Check client ID",IF(VLOOKUP(C35,Inventory!$A$2:$L$501,12,FALSE)&lt;0,"OVER SOLD","OK"))))))</f>
        <v/>
      </c>
    </row>
    <row r="36" ht="23" customHeight="1">
      <c r="A36" s="17" t="n"/>
      <c r="B36" s="9" t="n"/>
      <c r="C36" s="9" t="n"/>
      <c r="D36" s="9" t="n"/>
      <c r="E36" s="10" t="n"/>
      <c r="F36" s="11" t="n"/>
      <c r="G36" s="13">
        <f>IF(C36="","",ROUND(E36*F36,2))</f>
        <v/>
      </c>
      <c r="H36" s="13">
        <f>IF(C36="","",IFERROR(VLOOKUP(C36,Inventory!$A$2:$J$501,9,FALSE),0))</f>
        <v/>
      </c>
      <c r="I36" s="13">
        <f>IF(C36="","",ROUND(E36*H36,2))</f>
        <v/>
      </c>
      <c r="J36" s="11" t="n"/>
      <c r="K36" s="11" t="n"/>
      <c r="L36" s="13">
        <f>IF(C36="","",ROUND(G36-I36-J36-K36,2))</f>
        <v/>
      </c>
      <c r="M36" s="10" t="n"/>
      <c r="N36" s="10" t="n"/>
      <c r="O36" s="12">
        <f>IF(C36="","",IFERROR(VLOOKUP(C36,Inventory!$A$2:$B$501,2,FALSE),"Unknown lot"))</f>
        <v/>
      </c>
      <c r="P36" s="12">
        <f>IF(D36="","",IFERROR(VLOOKUP(D36,Clients!$A$2:$B$501,2,FALSE),"Unknown client"))</f>
        <v/>
      </c>
      <c r="Q36" s="12">
        <f>IF(C36="","",IF(COUNTIF(Inventory!$A$2:$A$501,C36)&lt;&gt;1,"Check lot ID",IF(OR(A36="",B36="",E36="",F36=""),"Complete required fields",IF(COUNTIF($B$2:$B$501,B36)&gt;1,"Duplicate sale ID",IF(AND(D36&lt;&gt;"",COUNTIF(Clients!$A$2:$A$501,D36)&lt;&gt;1),"Check client ID",IF(VLOOKUP(C36,Inventory!$A$2:$L$501,12,FALSE)&lt;0,"OVER SOLD","OK"))))))</f>
        <v/>
      </c>
    </row>
    <row r="37" ht="23" customHeight="1">
      <c r="A37" s="18" t="n"/>
      <c r="B37" s="14" t="n"/>
      <c r="C37" s="14" t="n"/>
      <c r="D37" s="14" t="n"/>
      <c r="E37" s="15" t="n"/>
      <c r="F37" s="16" t="n"/>
      <c r="G37" s="13">
        <f>IF(C37="","",ROUND(E37*F37,2))</f>
        <v/>
      </c>
      <c r="H37" s="13">
        <f>IF(C37="","",IFERROR(VLOOKUP(C37,Inventory!$A$2:$J$501,9,FALSE),0))</f>
        <v/>
      </c>
      <c r="I37" s="13">
        <f>IF(C37="","",ROUND(E37*H37,2))</f>
        <v/>
      </c>
      <c r="J37" s="16" t="n"/>
      <c r="K37" s="16" t="n"/>
      <c r="L37" s="13">
        <f>IF(C37="","",ROUND(G37-I37-J37-K37,2))</f>
        <v/>
      </c>
      <c r="M37" s="15" t="n"/>
      <c r="N37" s="15" t="n"/>
      <c r="O37" s="12">
        <f>IF(C37="","",IFERROR(VLOOKUP(C37,Inventory!$A$2:$B$501,2,FALSE),"Unknown lot"))</f>
        <v/>
      </c>
      <c r="P37" s="12">
        <f>IF(D37="","",IFERROR(VLOOKUP(D37,Clients!$A$2:$B$501,2,FALSE),"Unknown client"))</f>
        <v/>
      </c>
      <c r="Q37" s="12">
        <f>IF(C37="","",IF(COUNTIF(Inventory!$A$2:$A$501,C37)&lt;&gt;1,"Check lot ID",IF(OR(A37="",B37="",E37="",F37=""),"Complete required fields",IF(COUNTIF($B$2:$B$501,B37)&gt;1,"Duplicate sale ID",IF(AND(D37&lt;&gt;"",COUNTIF(Clients!$A$2:$A$501,D37)&lt;&gt;1),"Check client ID",IF(VLOOKUP(C37,Inventory!$A$2:$L$501,12,FALSE)&lt;0,"OVER SOLD","OK"))))))</f>
        <v/>
      </c>
    </row>
    <row r="38" ht="23" customHeight="1">
      <c r="A38" s="17" t="n"/>
      <c r="B38" s="9" t="n"/>
      <c r="C38" s="9" t="n"/>
      <c r="D38" s="9" t="n"/>
      <c r="E38" s="10" t="n"/>
      <c r="F38" s="11" t="n"/>
      <c r="G38" s="13">
        <f>IF(C38="","",ROUND(E38*F38,2))</f>
        <v/>
      </c>
      <c r="H38" s="13">
        <f>IF(C38="","",IFERROR(VLOOKUP(C38,Inventory!$A$2:$J$501,9,FALSE),0))</f>
        <v/>
      </c>
      <c r="I38" s="13">
        <f>IF(C38="","",ROUND(E38*H38,2))</f>
        <v/>
      </c>
      <c r="J38" s="11" t="n"/>
      <c r="K38" s="11" t="n"/>
      <c r="L38" s="13">
        <f>IF(C38="","",ROUND(G38-I38-J38-K38,2))</f>
        <v/>
      </c>
      <c r="M38" s="10" t="n"/>
      <c r="N38" s="10" t="n"/>
      <c r="O38" s="12">
        <f>IF(C38="","",IFERROR(VLOOKUP(C38,Inventory!$A$2:$B$501,2,FALSE),"Unknown lot"))</f>
        <v/>
      </c>
      <c r="P38" s="12">
        <f>IF(D38="","",IFERROR(VLOOKUP(D38,Clients!$A$2:$B$501,2,FALSE),"Unknown client"))</f>
        <v/>
      </c>
      <c r="Q38" s="12">
        <f>IF(C38="","",IF(COUNTIF(Inventory!$A$2:$A$501,C38)&lt;&gt;1,"Check lot ID",IF(OR(A38="",B38="",E38="",F38=""),"Complete required fields",IF(COUNTIF($B$2:$B$501,B38)&gt;1,"Duplicate sale ID",IF(AND(D38&lt;&gt;"",COUNTIF(Clients!$A$2:$A$501,D38)&lt;&gt;1),"Check client ID",IF(VLOOKUP(C38,Inventory!$A$2:$L$501,12,FALSE)&lt;0,"OVER SOLD","OK"))))))</f>
        <v/>
      </c>
    </row>
    <row r="39" ht="23" customHeight="1">
      <c r="A39" s="18" t="n"/>
      <c r="B39" s="14" t="n"/>
      <c r="C39" s="14" t="n"/>
      <c r="D39" s="14" t="n"/>
      <c r="E39" s="15" t="n"/>
      <c r="F39" s="16" t="n"/>
      <c r="G39" s="13">
        <f>IF(C39="","",ROUND(E39*F39,2))</f>
        <v/>
      </c>
      <c r="H39" s="13">
        <f>IF(C39="","",IFERROR(VLOOKUP(C39,Inventory!$A$2:$J$501,9,FALSE),0))</f>
        <v/>
      </c>
      <c r="I39" s="13">
        <f>IF(C39="","",ROUND(E39*H39,2))</f>
        <v/>
      </c>
      <c r="J39" s="16" t="n"/>
      <c r="K39" s="16" t="n"/>
      <c r="L39" s="13">
        <f>IF(C39="","",ROUND(G39-I39-J39-K39,2))</f>
        <v/>
      </c>
      <c r="M39" s="15" t="n"/>
      <c r="N39" s="15" t="n"/>
      <c r="O39" s="12">
        <f>IF(C39="","",IFERROR(VLOOKUP(C39,Inventory!$A$2:$B$501,2,FALSE),"Unknown lot"))</f>
        <v/>
      </c>
      <c r="P39" s="12">
        <f>IF(D39="","",IFERROR(VLOOKUP(D39,Clients!$A$2:$B$501,2,FALSE),"Unknown client"))</f>
        <v/>
      </c>
      <c r="Q39" s="12">
        <f>IF(C39="","",IF(COUNTIF(Inventory!$A$2:$A$501,C39)&lt;&gt;1,"Check lot ID",IF(OR(A39="",B39="",E39="",F39=""),"Complete required fields",IF(COUNTIF($B$2:$B$501,B39)&gt;1,"Duplicate sale ID",IF(AND(D39&lt;&gt;"",COUNTIF(Clients!$A$2:$A$501,D39)&lt;&gt;1),"Check client ID",IF(VLOOKUP(C39,Inventory!$A$2:$L$501,12,FALSE)&lt;0,"OVER SOLD","OK"))))))</f>
        <v/>
      </c>
    </row>
    <row r="40" ht="23" customHeight="1">
      <c r="A40" s="17" t="n"/>
      <c r="B40" s="9" t="n"/>
      <c r="C40" s="9" t="n"/>
      <c r="D40" s="9" t="n"/>
      <c r="E40" s="10" t="n"/>
      <c r="F40" s="11" t="n"/>
      <c r="G40" s="13">
        <f>IF(C40="","",ROUND(E40*F40,2))</f>
        <v/>
      </c>
      <c r="H40" s="13">
        <f>IF(C40="","",IFERROR(VLOOKUP(C40,Inventory!$A$2:$J$501,9,FALSE),0))</f>
        <v/>
      </c>
      <c r="I40" s="13">
        <f>IF(C40="","",ROUND(E40*H40,2))</f>
        <v/>
      </c>
      <c r="J40" s="11" t="n"/>
      <c r="K40" s="11" t="n"/>
      <c r="L40" s="13">
        <f>IF(C40="","",ROUND(G40-I40-J40-K40,2))</f>
        <v/>
      </c>
      <c r="M40" s="10" t="n"/>
      <c r="N40" s="10" t="n"/>
      <c r="O40" s="12">
        <f>IF(C40="","",IFERROR(VLOOKUP(C40,Inventory!$A$2:$B$501,2,FALSE),"Unknown lot"))</f>
        <v/>
      </c>
      <c r="P40" s="12">
        <f>IF(D40="","",IFERROR(VLOOKUP(D40,Clients!$A$2:$B$501,2,FALSE),"Unknown client"))</f>
        <v/>
      </c>
      <c r="Q40" s="12">
        <f>IF(C40="","",IF(COUNTIF(Inventory!$A$2:$A$501,C40)&lt;&gt;1,"Check lot ID",IF(OR(A40="",B40="",E40="",F40=""),"Complete required fields",IF(COUNTIF($B$2:$B$501,B40)&gt;1,"Duplicate sale ID",IF(AND(D40&lt;&gt;"",COUNTIF(Clients!$A$2:$A$501,D40)&lt;&gt;1),"Check client ID",IF(VLOOKUP(C40,Inventory!$A$2:$L$501,12,FALSE)&lt;0,"OVER SOLD","OK"))))))</f>
        <v/>
      </c>
    </row>
    <row r="41" ht="23" customHeight="1">
      <c r="A41" s="18" t="n"/>
      <c r="B41" s="14" t="n"/>
      <c r="C41" s="14" t="n"/>
      <c r="D41" s="14" t="n"/>
      <c r="E41" s="15" t="n"/>
      <c r="F41" s="16" t="n"/>
      <c r="G41" s="13">
        <f>IF(C41="","",ROUND(E41*F41,2))</f>
        <v/>
      </c>
      <c r="H41" s="13">
        <f>IF(C41="","",IFERROR(VLOOKUP(C41,Inventory!$A$2:$J$501,9,FALSE),0))</f>
        <v/>
      </c>
      <c r="I41" s="13">
        <f>IF(C41="","",ROUND(E41*H41,2))</f>
        <v/>
      </c>
      <c r="J41" s="16" t="n"/>
      <c r="K41" s="16" t="n"/>
      <c r="L41" s="13">
        <f>IF(C41="","",ROUND(G41-I41-J41-K41,2))</f>
        <v/>
      </c>
      <c r="M41" s="15" t="n"/>
      <c r="N41" s="15" t="n"/>
      <c r="O41" s="12">
        <f>IF(C41="","",IFERROR(VLOOKUP(C41,Inventory!$A$2:$B$501,2,FALSE),"Unknown lot"))</f>
        <v/>
      </c>
      <c r="P41" s="12">
        <f>IF(D41="","",IFERROR(VLOOKUP(D41,Clients!$A$2:$B$501,2,FALSE),"Unknown client"))</f>
        <v/>
      </c>
      <c r="Q41" s="12">
        <f>IF(C41="","",IF(COUNTIF(Inventory!$A$2:$A$501,C41)&lt;&gt;1,"Check lot ID",IF(OR(A41="",B41="",E41="",F41=""),"Complete required fields",IF(COUNTIF($B$2:$B$501,B41)&gt;1,"Duplicate sale ID",IF(AND(D41&lt;&gt;"",COUNTIF(Clients!$A$2:$A$501,D41)&lt;&gt;1),"Check client ID",IF(VLOOKUP(C41,Inventory!$A$2:$L$501,12,FALSE)&lt;0,"OVER SOLD","OK"))))))</f>
        <v/>
      </c>
    </row>
    <row r="42" ht="23" customHeight="1">
      <c r="A42" s="17" t="n"/>
      <c r="B42" s="9" t="n"/>
      <c r="C42" s="9" t="n"/>
      <c r="D42" s="9" t="n"/>
      <c r="E42" s="10" t="n"/>
      <c r="F42" s="11" t="n"/>
      <c r="G42" s="13">
        <f>IF(C42="","",ROUND(E42*F42,2))</f>
        <v/>
      </c>
      <c r="H42" s="13">
        <f>IF(C42="","",IFERROR(VLOOKUP(C42,Inventory!$A$2:$J$501,9,FALSE),0))</f>
        <v/>
      </c>
      <c r="I42" s="13">
        <f>IF(C42="","",ROUND(E42*H42,2))</f>
        <v/>
      </c>
      <c r="J42" s="11" t="n"/>
      <c r="K42" s="11" t="n"/>
      <c r="L42" s="13">
        <f>IF(C42="","",ROUND(G42-I42-J42-K42,2))</f>
        <v/>
      </c>
      <c r="M42" s="10" t="n"/>
      <c r="N42" s="10" t="n"/>
      <c r="O42" s="12">
        <f>IF(C42="","",IFERROR(VLOOKUP(C42,Inventory!$A$2:$B$501,2,FALSE),"Unknown lot"))</f>
        <v/>
      </c>
      <c r="P42" s="12">
        <f>IF(D42="","",IFERROR(VLOOKUP(D42,Clients!$A$2:$B$501,2,FALSE),"Unknown client"))</f>
        <v/>
      </c>
      <c r="Q42" s="12">
        <f>IF(C42="","",IF(COUNTIF(Inventory!$A$2:$A$501,C42)&lt;&gt;1,"Check lot ID",IF(OR(A42="",B42="",E42="",F42=""),"Complete required fields",IF(COUNTIF($B$2:$B$501,B42)&gt;1,"Duplicate sale ID",IF(AND(D42&lt;&gt;"",COUNTIF(Clients!$A$2:$A$501,D42)&lt;&gt;1),"Check client ID",IF(VLOOKUP(C42,Inventory!$A$2:$L$501,12,FALSE)&lt;0,"OVER SOLD","OK"))))))</f>
        <v/>
      </c>
    </row>
    <row r="43" ht="23" customHeight="1">
      <c r="A43" s="18" t="n"/>
      <c r="B43" s="14" t="n"/>
      <c r="C43" s="14" t="n"/>
      <c r="D43" s="14" t="n"/>
      <c r="E43" s="15" t="n"/>
      <c r="F43" s="16" t="n"/>
      <c r="G43" s="13">
        <f>IF(C43="","",ROUND(E43*F43,2))</f>
        <v/>
      </c>
      <c r="H43" s="13">
        <f>IF(C43="","",IFERROR(VLOOKUP(C43,Inventory!$A$2:$J$501,9,FALSE),0))</f>
        <v/>
      </c>
      <c r="I43" s="13">
        <f>IF(C43="","",ROUND(E43*H43,2))</f>
        <v/>
      </c>
      <c r="J43" s="16" t="n"/>
      <c r="K43" s="16" t="n"/>
      <c r="L43" s="13">
        <f>IF(C43="","",ROUND(G43-I43-J43-K43,2))</f>
        <v/>
      </c>
      <c r="M43" s="15" t="n"/>
      <c r="N43" s="15" t="n"/>
      <c r="O43" s="12">
        <f>IF(C43="","",IFERROR(VLOOKUP(C43,Inventory!$A$2:$B$501,2,FALSE),"Unknown lot"))</f>
        <v/>
      </c>
      <c r="P43" s="12">
        <f>IF(D43="","",IFERROR(VLOOKUP(D43,Clients!$A$2:$B$501,2,FALSE),"Unknown client"))</f>
        <v/>
      </c>
      <c r="Q43" s="12">
        <f>IF(C43="","",IF(COUNTIF(Inventory!$A$2:$A$501,C43)&lt;&gt;1,"Check lot ID",IF(OR(A43="",B43="",E43="",F43=""),"Complete required fields",IF(COUNTIF($B$2:$B$501,B43)&gt;1,"Duplicate sale ID",IF(AND(D43&lt;&gt;"",COUNTIF(Clients!$A$2:$A$501,D43)&lt;&gt;1),"Check client ID",IF(VLOOKUP(C43,Inventory!$A$2:$L$501,12,FALSE)&lt;0,"OVER SOLD","OK"))))))</f>
        <v/>
      </c>
    </row>
    <row r="44" ht="23" customHeight="1">
      <c r="A44" s="17" t="n"/>
      <c r="B44" s="9" t="n"/>
      <c r="C44" s="9" t="n"/>
      <c r="D44" s="9" t="n"/>
      <c r="E44" s="10" t="n"/>
      <c r="F44" s="11" t="n"/>
      <c r="G44" s="13">
        <f>IF(C44="","",ROUND(E44*F44,2))</f>
        <v/>
      </c>
      <c r="H44" s="13">
        <f>IF(C44="","",IFERROR(VLOOKUP(C44,Inventory!$A$2:$J$501,9,FALSE),0))</f>
        <v/>
      </c>
      <c r="I44" s="13">
        <f>IF(C44="","",ROUND(E44*H44,2))</f>
        <v/>
      </c>
      <c r="J44" s="11" t="n"/>
      <c r="K44" s="11" t="n"/>
      <c r="L44" s="13">
        <f>IF(C44="","",ROUND(G44-I44-J44-K44,2))</f>
        <v/>
      </c>
      <c r="M44" s="10" t="n"/>
      <c r="N44" s="10" t="n"/>
      <c r="O44" s="12">
        <f>IF(C44="","",IFERROR(VLOOKUP(C44,Inventory!$A$2:$B$501,2,FALSE),"Unknown lot"))</f>
        <v/>
      </c>
      <c r="P44" s="12">
        <f>IF(D44="","",IFERROR(VLOOKUP(D44,Clients!$A$2:$B$501,2,FALSE),"Unknown client"))</f>
        <v/>
      </c>
      <c r="Q44" s="12">
        <f>IF(C44="","",IF(COUNTIF(Inventory!$A$2:$A$501,C44)&lt;&gt;1,"Check lot ID",IF(OR(A44="",B44="",E44="",F44=""),"Complete required fields",IF(COUNTIF($B$2:$B$501,B44)&gt;1,"Duplicate sale ID",IF(AND(D44&lt;&gt;"",COUNTIF(Clients!$A$2:$A$501,D44)&lt;&gt;1),"Check client ID",IF(VLOOKUP(C44,Inventory!$A$2:$L$501,12,FALSE)&lt;0,"OVER SOLD","OK"))))))</f>
        <v/>
      </c>
    </row>
    <row r="45" ht="23" customHeight="1">
      <c r="A45" s="18" t="n"/>
      <c r="B45" s="14" t="n"/>
      <c r="C45" s="14" t="n"/>
      <c r="D45" s="14" t="n"/>
      <c r="E45" s="15" t="n"/>
      <c r="F45" s="16" t="n"/>
      <c r="G45" s="13">
        <f>IF(C45="","",ROUND(E45*F45,2))</f>
        <v/>
      </c>
      <c r="H45" s="13">
        <f>IF(C45="","",IFERROR(VLOOKUP(C45,Inventory!$A$2:$J$501,9,FALSE),0))</f>
        <v/>
      </c>
      <c r="I45" s="13">
        <f>IF(C45="","",ROUND(E45*H45,2))</f>
        <v/>
      </c>
      <c r="J45" s="16" t="n"/>
      <c r="K45" s="16" t="n"/>
      <c r="L45" s="13">
        <f>IF(C45="","",ROUND(G45-I45-J45-K45,2))</f>
        <v/>
      </c>
      <c r="M45" s="15" t="n"/>
      <c r="N45" s="15" t="n"/>
      <c r="O45" s="12">
        <f>IF(C45="","",IFERROR(VLOOKUP(C45,Inventory!$A$2:$B$501,2,FALSE),"Unknown lot"))</f>
        <v/>
      </c>
      <c r="P45" s="12">
        <f>IF(D45="","",IFERROR(VLOOKUP(D45,Clients!$A$2:$B$501,2,FALSE),"Unknown client"))</f>
        <v/>
      </c>
      <c r="Q45" s="12">
        <f>IF(C45="","",IF(COUNTIF(Inventory!$A$2:$A$501,C45)&lt;&gt;1,"Check lot ID",IF(OR(A45="",B45="",E45="",F45=""),"Complete required fields",IF(COUNTIF($B$2:$B$501,B45)&gt;1,"Duplicate sale ID",IF(AND(D45&lt;&gt;"",COUNTIF(Clients!$A$2:$A$501,D45)&lt;&gt;1),"Check client ID",IF(VLOOKUP(C45,Inventory!$A$2:$L$501,12,FALSE)&lt;0,"OVER SOLD","OK"))))))</f>
        <v/>
      </c>
    </row>
    <row r="46" ht="23" customHeight="1">
      <c r="A46" s="17" t="n"/>
      <c r="B46" s="9" t="n"/>
      <c r="C46" s="9" t="n"/>
      <c r="D46" s="9" t="n"/>
      <c r="E46" s="10" t="n"/>
      <c r="F46" s="11" t="n"/>
      <c r="G46" s="13">
        <f>IF(C46="","",ROUND(E46*F46,2))</f>
        <v/>
      </c>
      <c r="H46" s="13">
        <f>IF(C46="","",IFERROR(VLOOKUP(C46,Inventory!$A$2:$J$501,9,FALSE),0))</f>
        <v/>
      </c>
      <c r="I46" s="13">
        <f>IF(C46="","",ROUND(E46*H46,2))</f>
        <v/>
      </c>
      <c r="J46" s="11" t="n"/>
      <c r="K46" s="11" t="n"/>
      <c r="L46" s="13">
        <f>IF(C46="","",ROUND(G46-I46-J46-K46,2))</f>
        <v/>
      </c>
      <c r="M46" s="10" t="n"/>
      <c r="N46" s="10" t="n"/>
      <c r="O46" s="12">
        <f>IF(C46="","",IFERROR(VLOOKUP(C46,Inventory!$A$2:$B$501,2,FALSE),"Unknown lot"))</f>
        <v/>
      </c>
      <c r="P46" s="12">
        <f>IF(D46="","",IFERROR(VLOOKUP(D46,Clients!$A$2:$B$501,2,FALSE),"Unknown client"))</f>
        <v/>
      </c>
      <c r="Q46" s="12">
        <f>IF(C46="","",IF(COUNTIF(Inventory!$A$2:$A$501,C46)&lt;&gt;1,"Check lot ID",IF(OR(A46="",B46="",E46="",F46=""),"Complete required fields",IF(COUNTIF($B$2:$B$501,B46)&gt;1,"Duplicate sale ID",IF(AND(D46&lt;&gt;"",COUNTIF(Clients!$A$2:$A$501,D46)&lt;&gt;1),"Check client ID",IF(VLOOKUP(C46,Inventory!$A$2:$L$501,12,FALSE)&lt;0,"OVER SOLD","OK"))))))</f>
        <v/>
      </c>
    </row>
    <row r="47" ht="23" customHeight="1">
      <c r="A47" s="18" t="n"/>
      <c r="B47" s="14" t="n"/>
      <c r="C47" s="14" t="n"/>
      <c r="D47" s="14" t="n"/>
      <c r="E47" s="15" t="n"/>
      <c r="F47" s="16" t="n"/>
      <c r="G47" s="13">
        <f>IF(C47="","",ROUND(E47*F47,2))</f>
        <v/>
      </c>
      <c r="H47" s="13">
        <f>IF(C47="","",IFERROR(VLOOKUP(C47,Inventory!$A$2:$J$501,9,FALSE),0))</f>
        <v/>
      </c>
      <c r="I47" s="13">
        <f>IF(C47="","",ROUND(E47*H47,2))</f>
        <v/>
      </c>
      <c r="J47" s="16" t="n"/>
      <c r="K47" s="16" t="n"/>
      <c r="L47" s="13">
        <f>IF(C47="","",ROUND(G47-I47-J47-K47,2))</f>
        <v/>
      </c>
      <c r="M47" s="15" t="n"/>
      <c r="N47" s="15" t="n"/>
      <c r="O47" s="12">
        <f>IF(C47="","",IFERROR(VLOOKUP(C47,Inventory!$A$2:$B$501,2,FALSE),"Unknown lot"))</f>
        <v/>
      </c>
      <c r="P47" s="12">
        <f>IF(D47="","",IFERROR(VLOOKUP(D47,Clients!$A$2:$B$501,2,FALSE),"Unknown client"))</f>
        <v/>
      </c>
      <c r="Q47" s="12">
        <f>IF(C47="","",IF(COUNTIF(Inventory!$A$2:$A$501,C47)&lt;&gt;1,"Check lot ID",IF(OR(A47="",B47="",E47="",F47=""),"Complete required fields",IF(COUNTIF($B$2:$B$501,B47)&gt;1,"Duplicate sale ID",IF(AND(D47&lt;&gt;"",COUNTIF(Clients!$A$2:$A$501,D47)&lt;&gt;1),"Check client ID",IF(VLOOKUP(C47,Inventory!$A$2:$L$501,12,FALSE)&lt;0,"OVER SOLD","OK"))))))</f>
        <v/>
      </c>
    </row>
    <row r="48" ht="23" customHeight="1">
      <c r="A48" s="17" t="n"/>
      <c r="B48" s="9" t="n"/>
      <c r="C48" s="9" t="n"/>
      <c r="D48" s="9" t="n"/>
      <c r="E48" s="10" t="n"/>
      <c r="F48" s="11" t="n"/>
      <c r="G48" s="13">
        <f>IF(C48="","",ROUND(E48*F48,2))</f>
        <v/>
      </c>
      <c r="H48" s="13">
        <f>IF(C48="","",IFERROR(VLOOKUP(C48,Inventory!$A$2:$J$501,9,FALSE),0))</f>
        <v/>
      </c>
      <c r="I48" s="13">
        <f>IF(C48="","",ROUND(E48*H48,2))</f>
        <v/>
      </c>
      <c r="J48" s="11" t="n"/>
      <c r="K48" s="11" t="n"/>
      <c r="L48" s="13">
        <f>IF(C48="","",ROUND(G48-I48-J48-K48,2))</f>
        <v/>
      </c>
      <c r="M48" s="10" t="n"/>
      <c r="N48" s="10" t="n"/>
      <c r="O48" s="12">
        <f>IF(C48="","",IFERROR(VLOOKUP(C48,Inventory!$A$2:$B$501,2,FALSE),"Unknown lot"))</f>
        <v/>
      </c>
      <c r="P48" s="12">
        <f>IF(D48="","",IFERROR(VLOOKUP(D48,Clients!$A$2:$B$501,2,FALSE),"Unknown client"))</f>
        <v/>
      </c>
      <c r="Q48" s="12">
        <f>IF(C48="","",IF(COUNTIF(Inventory!$A$2:$A$501,C48)&lt;&gt;1,"Check lot ID",IF(OR(A48="",B48="",E48="",F48=""),"Complete required fields",IF(COUNTIF($B$2:$B$501,B48)&gt;1,"Duplicate sale ID",IF(AND(D48&lt;&gt;"",COUNTIF(Clients!$A$2:$A$501,D48)&lt;&gt;1),"Check client ID",IF(VLOOKUP(C48,Inventory!$A$2:$L$501,12,FALSE)&lt;0,"OVER SOLD","OK"))))))</f>
        <v/>
      </c>
    </row>
    <row r="49" ht="23" customHeight="1">
      <c r="A49" s="18" t="n"/>
      <c r="B49" s="14" t="n"/>
      <c r="C49" s="14" t="n"/>
      <c r="D49" s="14" t="n"/>
      <c r="E49" s="15" t="n"/>
      <c r="F49" s="16" t="n"/>
      <c r="G49" s="13">
        <f>IF(C49="","",ROUND(E49*F49,2))</f>
        <v/>
      </c>
      <c r="H49" s="13">
        <f>IF(C49="","",IFERROR(VLOOKUP(C49,Inventory!$A$2:$J$501,9,FALSE),0))</f>
        <v/>
      </c>
      <c r="I49" s="13">
        <f>IF(C49="","",ROUND(E49*H49,2))</f>
        <v/>
      </c>
      <c r="J49" s="16" t="n"/>
      <c r="K49" s="16" t="n"/>
      <c r="L49" s="13">
        <f>IF(C49="","",ROUND(G49-I49-J49-K49,2))</f>
        <v/>
      </c>
      <c r="M49" s="15" t="n"/>
      <c r="N49" s="15" t="n"/>
      <c r="O49" s="12">
        <f>IF(C49="","",IFERROR(VLOOKUP(C49,Inventory!$A$2:$B$501,2,FALSE),"Unknown lot"))</f>
        <v/>
      </c>
      <c r="P49" s="12">
        <f>IF(D49="","",IFERROR(VLOOKUP(D49,Clients!$A$2:$B$501,2,FALSE),"Unknown client"))</f>
        <v/>
      </c>
      <c r="Q49" s="12">
        <f>IF(C49="","",IF(COUNTIF(Inventory!$A$2:$A$501,C49)&lt;&gt;1,"Check lot ID",IF(OR(A49="",B49="",E49="",F49=""),"Complete required fields",IF(COUNTIF($B$2:$B$501,B49)&gt;1,"Duplicate sale ID",IF(AND(D49&lt;&gt;"",COUNTIF(Clients!$A$2:$A$501,D49)&lt;&gt;1),"Check client ID",IF(VLOOKUP(C49,Inventory!$A$2:$L$501,12,FALSE)&lt;0,"OVER SOLD","OK"))))))</f>
        <v/>
      </c>
    </row>
    <row r="50" ht="23" customHeight="1">
      <c r="A50" s="17" t="n"/>
      <c r="B50" s="9" t="n"/>
      <c r="C50" s="9" t="n"/>
      <c r="D50" s="9" t="n"/>
      <c r="E50" s="10" t="n"/>
      <c r="F50" s="11" t="n"/>
      <c r="G50" s="13">
        <f>IF(C50="","",ROUND(E50*F50,2))</f>
        <v/>
      </c>
      <c r="H50" s="13">
        <f>IF(C50="","",IFERROR(VLOOKUP(C50,Inventory!$A$2:$J$501,9,FALSE),0))</f>
        <v/>
      </c>
      <c r="I50" s="13">
        <f>IF(C50="","",ROUND(E50*H50,2))</f>
        <v/>
      </c>
      <c r="J50" s="11" t="n"/>
      <c r="K50" s="11" t="n"/>
      <c r="L50" s="13">
        <f>IF(C50="","",ROUND(G50-I50-J50-K50,2))</f>
        <v/>
      </c>
      <c r="M50" s="10" t="n"/>
      <c r="N50" s="10" t="n"/>
      <c r="O50" s="12">
        <f>IF(C50="","",IFERROR(VLOOKUP(C50,Inventory!$A$2:$B$501,2,FALSE),"Unknown lot"))</f>
        <v/>
      </c>
      <c r="P50" s="12">
        <f>IF(D50="","",IFERROR(VLOOKUP(D50,Clients!$A$2:$B$501,2,FALSE),"Unknown client"))</f>
        <v/>
      </c>
      <c r="Q50" s="12">
        <f>IF(C50="","",IF(COUNTIF(Inventory!$A$2:$A$501,C50)&lt;&gt;1,"Check lot ID",IF(OR(A50="",B50="",E50="",F50=""),"Complete required fields",IF(COUNTIF($B$2:$B$501,B50)&gt;1,"Duplicate sale ID",IF(AND(D50&lt;&gt;"",COUNTIF(Clients!$A$2:$A$501,D50)&lt;&gt;1),"Check client ID",IF(VLOOKUP(C50,Inventory!$A$2:$L$501,12,FALSE)&lt;0,"OVER SOLD","OK"))))))</f>
        <v/>
      </c>
    </row>
    <row r="51" ht="23" customHeight="1">
      <c r="A51" s="18" t="n"/>
      <c r="B51" s="14" t="n"/>
      <c r="C51" s="14" t="n"/>
      <c r="D51" s="14" t="n"/>
      <c r="E51" s="15" t="n"/>
      <c r="F51" s="16" t="n"/>
      <c r="G51" s="13">
        <f>IF(C51="","",ROUND(E51*F51,2))</f>
        <v/>
      </c>
      <c r="H51" s="13">
        <f>IF(C51="","",IFERROR(VLOOKUP(C51,Inventory!$A$2:$J$501,9,FALSE),0))</f>
        <v/>
      </c>
      <c r="I51" s="13">
        <f>IF(C51="","",ROUND(E51*H51,2))</f>
        <v/>
      </c>
      <c r="J51" s="16" t="n"/>
      <c r="K51" s="16" t="n"/>
      <c r="L51" s="13">
        <f>IF(C51="","",ROUND(G51-I51-J51-K51,2))</f>
        <v/>
      </c>
      <c r="M51" s="15" t="n"/>
      <c r="N51" s="15" t="n"/>
      <c r="O51" s="12">
        <f>IF(C51="","",IFERROR(VLOOKUP(C51,Inventory!$A$2:$B$501,2,FALSE),"Unknown lot"))</f>
        <v/>
      </c>
      <c r="P51" s="12">
        <f>IF(D51="","",IFERROR(VLOOKUP(D51,Clients!$A$2:$B$501,2,FALSE),"Unknown client"))</f>
        <v/>
      </c>
      <c r="Q51" s="12">
        <f>IF(C51="","",IF(COUNTIF(Inventory!$A$2:$A$501,C51)&lt;&gt;1,"Check lot ID",IF(OR(A51="",B51="",E51="",F51=""),"Complete required fields",IF(COUNTIF($B$2:$B$501,B51)&gt;1,"Duplicate sale ID",IF(AND(D51&lt;&gt;"",COUNTIF(Clients!$A$2:$A$501,D51)&lt;&gt;1),"Check client ID",IF(VLOOKUP(C51,Inventory!$A$2:$L$501,12,FALSE)&lt;0,"OVER SOLD","OK"))))))</f>
        <v/>
      </c>
    </row>
    <row r="52" ht="23" customHeight="1">
      <c r="A52" s="17" t="n"/>
      <c r="B52" s="9" t="n"/>
      <c r="C52" s="9" t="n"/>
      <c r="D52" s="9" t="n"/>
      <c r="E52" s="10" t="n"/>
      <c r="F52" s="11" t="n"/>
      <c r="G52" s="13">
        <f>IF(C52="","",ROUND(E52*F52,2))</f>
        <v/>
      </c>
      <c r="H52" s="13">
        <f>IF(C52="","",IFERROR(VLOOKUP(C52,Inventory!$A$2:$J$501,9,FALSE),0))</f>
        <v/>
      </c>
      <c r="I52" s="13">
        <f>IF(C52="","",ROUND(E52*H52,2))</f>
        <v/>
      </c>
      <c r="J52" s="11" t="n"/>
      <c r="K52" s="11" t="n"/>
      <c r="L52" s="13">
        <f>IF(C52="","",ROUND(G52-I52-J52-K52,2))</f>
        <v/>
      </c>
      <c r="M52" s="10" t="n"/>
      <c r="N52" s="10" t="n"/>
      <c r="O52" s="12">
        <f>IF(C52="","",IFERROR(VLOOKUP(C52,Inventory!$A$2:$B$501,2,FALSE),"Unknown lot"))</f>
        <v/>
      </c>
      <c r="P52" s="12">
        <f>IF(D52="","",IFERROR(VLOOKUP(D52,Clients!$A$2:$B$501,2,FALSE),"Unknown client"))</f>
        <v/>
      </c>
      <c r="Q52" s="12">
        <f>IF(C52="","",IF(COUNTIF(Inventory!$A$2:$A$501,C52)&lt;&gt;1,"Check lot ID",IF(OR(A52="",B52="",E52="",F52=""),"Complete required fields",IF(COUNTIF($B$2:$B$501,B52)&gt;1,"Duplicate sale ID",IF(AND(D52&lt;&gt;"",COUNTIF(Clients!$A$2:$A$501,D52)&lt;&gt;1),"Check client ID",IF(VLOOKUP(C52,Inventory!$A$2:$L$501,12,FALSE)&lt;0,"OVER SOLD","OK"))))))</f>
        <v/>
      </c>
    </row>
    <row r="53" ht="23" customHeight="1">
      <c r="A53" s="18" t="n"/>
      <c r="B53" s="14" t="n"/>
      <c r="C53" s="14" t="n"/>
      <c r="D53" s="14" t="n"/>
      <c r="E53" s="15" t="n"/>
      <c r="F53" s="16" t="n"/>
      <c r="G53" s="13">
        <f>IF(C53="","",ROUND(E53*F53,2))</f>
        <v/>
      </c>
      <c r="H53" s="13">
        <f>IF(C53="","",IFERROR(VLOOKUP(C53,Inventory!$A$2:$J$501,9,FALSE),0))</f>
        <v/>
      </c>
      <c r="I53" s="13">
        <f>IF(C53="","",ROUND(E53*H53,2))</f>
        <v/>
      </c>
      <c r="J53" s="16" t="n"/>
      <c r="K53" s="16" t="n"/>
      <c r="L53" s="13">
        <f>IF(C53="","",ROUND(G53-I53-J53-K53,2))</f>
        <v/>
      </c>
      <c r="M53" s="15" t="n"/>
      <c r="N53" s="15" t="n"/>
      <c r="O53" s="12">
        <f>IF(C53="","",IFERROR(VLOOKUP(C53,Inventory!$A$2:$B$501,2,FALSE),"Unknown lot"))</f>
        <v/>
      </c>
      <c r="P53" s="12">
        <f>IF(D53="","",IFERROR(VLOOKUP(D53,Clients!$A$2:$B$501,2,FALSE),"Unknown client"))</f>
        <v/>
      </c>
      <c r="Q53" s="12">
        <f>IF(C53="","",IF(COUNTIF(Inventory!$A$2:$A$501,C53)&lt;&gt;1,"Check lot ID",IF(OR(A53="",B53="",E53="",F53=""),"Complete required fields",IF(COUNTIF($B$2:$B$501,B53)&gt;1,"Duplicate sale ID",IF(AND(D53&lt;&gt;"",COUNTIF(Clients!$A$2:$A$501,D53)&lt;&gt;1),"Check client ID",IF(VLOOKUP(C53,Inventory!$A$2:$L$501,12,FALSE)&lt;0,"OVER SOLD","OK"))))))</f>
        <v/>
      </c>
    </row>
    <row r="54" ht="23" customHeight="1">
      <c r="A54" s="17" t="n"/>
      <c r="B54" s="9" t="n"/>
      <c r="C54" s="9" t="n"/>
      <c r="D54" s="9" t="n"/>
      <c r="E54" s="10" t="n"/>
      <c r="F54" s="11" t="n"/>
      <c r="G54" s="13">
        <f>IF(C54="","",ROUND(E54*F54,2))</f>
        <v/>
      </c>
      <c r="H54" s="13">
        <f>IF(C54="","",IFERROR(VLOOKUP(C54,Inventory!$A$2:$J$501,9,FALSE),0))</f>
        <v/>
      </c>
      <c r="I54" s="13">
        <f>IF(C54="","",ROUND(E54*H54,2))</f>
        <v/>
      </c>
      <c r="J54" s="11" t="n"/>
      <c r="K54" s="11" t="n"/>
      <c r="L54" s="13">
        <f>IF(C54="","",ROUND(G54-I54-J54-K54,2))</f>
        <v/>
      </c>
      <c r="M54" s="10" t="n"/>
      <c r="N54" s="10" t="n"/>
      <c r="O54" s="12">
        <f>IF(C54="","",IFERROR(VLOOKUP(C54,Inventory!$A$2:$B$501,2,FALSE),"Unknown lot"))</f>
        <v/>
      </c>
      <c r="P54" s="12">
        <f>IF(D54="","",IFERROR(VLOOKUP(D54,Clients!$A$2:$B$501,2,FALSE),"Unknown client"))</f>
        <v/>
      </c>
      <c r="Q54" s="12">
        <f>IF(C54="","",IF(COUNTIF(Inventory!$A$2:$A$501,C54)&lt;&gt;1,"Check lot ID",IF(OR(A54="",B54="",E54="",F54=""),"Complete required fields",IF(COUNTIF($B$2:$B$501,B54)&gt;1,"Duplicate sale ID",IF(AND(D54&lt;&gt;"",COUNTIF(Clients!$A$2:$A$501,D54)&lt;&gt;1),"Check client ID",IF(VLOOKUP(C54,Inventory!$A$2:$L$501,12,FALSE)&lt;0,"OVER SOLD","OK"))))))</f>
        <v/>
      </c>
    </row>
    <row r="55" ht="23" customHeight="1">
      <c r="A55" s="18" t="n"/>
      <c r="B55" s="14" t="n"/>
      <c r="C55" s="14" t="n"/>
      <c r="D55" s="14" t="n"/>
      <c r="E55" s="15" t="n"/>
      <c r="F55" s="16" t="n"/>
      <c r="G55" s="13">
        <f>IF(C55="","",ROUND(E55*F55,2))</f>
        <v/>
      </c>
      <c r="H55" s="13">
        <f>IF(C55="","",IFERROR(VLOOKUP(C55,Inventory!$A$2:$J$501,9,FALSE),0))</f>
        <v/>
      </c>
      <c r="I55" s="13">
        <f>IF(C55="","",ROUND(E55*H55,2))</f>
        <v/>
      </c>
      <c r="J55" s="16" t="n"/>
      <c r="K55" s="16" t="n"/>
      <c r="L55" s="13">
        <f>IF(C55="","",ROUND(G55-I55-J55-K55,2))</f>
        <v/>
      </c>
      <c r="M55" s="15" t="n"/>
      <c r="N55" s="15" t="n"/>
      <c r="O55" s="12">
        <f>IF(C55="","",IFERROR(VLOOKUP(C55,Inventory!$A$2:$B$501,2,FALSE),"Unknown lot"))</f>
        <v/>
      </c>
      <c r="P55" s="12">
        <f>IF(D55="","",IFERROR(VLOOKUP(D55,Clients!$A$2:$B$501,2,FALSE),"Unknown client"))</f>
        <v/>
      </c>
      <c r="Q55" s="12">
        <f>IF(C55="","",IF(COUNTIF(Inventory!$A$2:$A$501,C55)&lt;&gt;1,"Check lot ID",IF(OR(A55="",B55="",E55="",F55=""),"Complete required fields",IF(COUNTIF($B$2:$B$501,B55)&gt;1,"Duplicate sale ID",IF(AND(D55&lt;&gt;"",COUNTIF(Clients!$A$2:$A$501,D55)&lt;&gt;1),"Check client ID",IF(VLOOKUP(C55,Inventory!$A$2:$L$501,12,FALSE)&lt;0,"OVER SOLD","OK"))))))</f>
        <v/>
      </c>
    </row>
    <row r="56" ht="23" customHeight="1">
      <c r="A56" s="17" t="n"/>
      <c r="B56" s="9" t="n"/>
      <c r="C56" s="9" t="n"/>
      <c r="D56" s="9" t="n"/>
      <c r="E56" s="10" t="n"/>
      <c r="F56" s="11" t="n"/>
      <c r="G56" s="13">
        <f>IF(C56="","",ROUND(E56*F56,2))</f>
        <v/>
      </c>
      <c r="H56" s="13">
        <f>IF(C56="","",IFERROR(VLOOKUP(C56,Inventory!$A$2:$J$501,9,FALSE),0))</f>
        <v/>
      </c>
      <c r="I56" s="13">
        <f>IF(C56="","",ROUND(E56*H56,2))</f>
        <v/>
      </c>
      <c r="J56" s="11" t="n"/>
      <c r="K56" s="11" t="n"/>
      <c r="L56" s="13">
        <f>IF(C56="","",ROUND(G56-I56-J56-K56,2))</f>
        <v/>
      </c>
      <c r="M56" s="10" t="n"/>
      <c r="N56" s="10" t="n"/>
      <c r="O56" s="12">
        <f>IF(C56="","",IFERROR(VLOOKUP(C56,Inventory!$A$2:$B$501,2,FALSE),"Unknown lot"))</f>
        <v/>
      </c>
      <c r="P56" s="12">
        <f>IF(D56="","",IFERROR(VLOOKUP(D56,Clients!$A$2:$B$501,2,FALSE),"Unknown client"))</f>
        <v/>
      </c>
      <c r="Q56" s="12">
        <f>IF(C56="","",IF(COUNTIF(Inventory!$A$2:$A$501,C56)&lt;&gt;1,"Check lot ID",IF(OR(A56="",B56="",E56="",F56=""),"Complete required fields",IF(COUNTIF($B$2:$B$501,B56)&gt;1,"Duplicate sale ID",IF(AND(D56&lt;&gt;"",COUNTIF(Clients!$A$2:$A$501,D56)&lt;&gt;1),"Check client ID",IF(VLOOKUP(C56,Inventory!$A$2:$L$501,12,FALSE)&lt;0,"OVER SOLD","OK"))))))</f>
        <v/>
      </c>
    </row>
    <row r="57" ht="23" customHeight="1">
      <c r="A57" s="18" t="n"/>
      <c r="B57" s="14" t="n"/>
      <c r="C57" s="14" t="n"/>
      <c r="D57" s="14" t="n"/>
      <c r="E57" s="15" t="n"/>
      <c r="F57" s="16" t="n"/>
      <c r="G57" s="13">
        <f>IF(C57="","",ROUND(E57*F57,2))</f>
        <v/>
      </c>
      <c r="H57" s="13">
        <f>IF(C57="","",IFERROR(VLOOKUP(C57,Inventory!$A$2:$J$501,9,FALSE),0))</f>
        <v/>
      </c>
      <c r="I57" s="13">
        <f>IF(C57="","",ROUND(E57*H57,2))</f>
        <v/>
      </c>
      <c r="J57" s="16" t="n"/>
      <c r="K57" s="16" t="n"/>
      <c r="L57" s="13">
        <f>IF(C57="","",ROUND(G57-I57-J57-K57,2))</f>
        <v/>
      </c>
      <c r="M57" s="15" t="n"/>
      <c r="N57" s="15" t="n"/>
      <c r="O57" s="12">
        <f>IF(C57="","",IFERROR(VLOOKUP(C57,Inventory!$A$2:$B$501,2,FALSE),"Unknown lot"))</f>
        <v/>
      </c>
      <c r="P57" s="12">
        <f>IF(D57="","",IFERROR(VLOOKUP(D57,Clients!$A$2:$B$501,2,FALSE),"Unknown client"))</f>
        <v/>
      </c>
      <c r="Q57" s="12">
        <f>IF(C57="","",IF(COUNTIF(Inventory!$A$2:$A$501,C57)&lt;&gt;1,"Check lot ID",IF(OR(A57="",B57="",E57="",F57=""),"Complete required fields",IF(COUNTIF($B$2:$B$501,B57)&gt;1,"Duplicate sale ID",IF(AND(D57&lt;&gt;"",COUNTIF(Clients!$A$2:$A$501,D57)&lt;&gt;1),"Check client ID",IF(VLOOKUP(C57,Inventory!$A$2:$L$501,12,FALSE)&lt;0,"OVER SOLD","OK"))))))</f>
        <v/>
      </c>
    </row>
    <row r="58" ht="23" customHeight="1">
      <c r="A58" s="17" t="n"/>
      <c r="B58" s="9" t="n"/>
      <c r="C58" s="9" t="n"/>
      <c r="D58" s="9" t="n"/>
      <c r="E58" s="10" t="n"/>
      <c r="F58" s="11" t="n"/>
      <c r="G58" s="13">
        <f>IF(C58="","",ROUND(E58*F58,2))</f>
        <v/>
      </c>
      <c r="H58" s="13">
        <f>IF(C58="","",IFERROR(VLOOKUP(C58,Inventory!$A$2:$J$501,9,FALSE),0))</f>
        <v/>
      </c>
      <c r="I58" s="13">
        <f>IF(C58="","",ROUND(E58*H58,2))</f>
        <v/>
      </c>
      <c r="J58" s="11" t="n"/>
      <c r="K58" s="11" t="n"/>
      <c r="L58" s="13">
        <f>IF(C58="","",ROUND(G58-I58-J58-K58,2))</f>
        <v/>
      </c>
      <c r="M58" s="10" t="n"/>
      <c r="N58" s="10" t="n"/>
      <c r="O58" s="12">
        <f>IF(C58="","",IFERROR(VLOOKUP(C58,Inventory!$A$2:$B$501,2,FALSE),"Unknown lot"))</f>
        <v/>
      </c>
      <c r="P58" s="12">
        <f>IF(D58="","",IFERROR(VLOOKUP(D58,Clients!$A$2:$B$501,2,FALSE),"Unknown client"))</f>
        <v/>
      </c>
      <c r="Q58" s="12">
        <f>IF(C58="","",IF(COUNTIF(Inventory!$A$2:$A$501,C58)&lt;&gt;1,"Check lot ID",IF(OR(A58="",B58="",E58="",F58=""),"Complete required fields",IF(COUNTIF($B$2:$B$501,B58)&gt;1,"Duplicate sale ID",IF(AND(D58&lt;&gt;"",COUNTIF(Clients!$A$2:$A$501,D58)&lt;&gt;1),"Check client ID",IF(VLOOKUP(C58,Inventory!$A$2:$L$501,12,FALSE)&lt;0,"OVER SOLD","OK"))))))</f>
        <v/>
      </c>
    </row>
    <row r="59" ht="23" customHeight="1">
      <c r="A59" s="18" t="n"/>
      <c r="B59" s="14" t="n"/>
      <c r="C59" s="14" t="n"/>
      <c r="D59" s="14" t="n"/>
      <c r="E59" s="15" t="n"/>
      <c r="F59" s="16" t="n"/>
      <c r="G59" s="13">
        <f>IF(C59="","",ROUND(E59*F59,2))</f>
        <v/>
      </c>
      <c r="H59" s="13">
        <f>IF(C59="","",IFERROR(VLOOKUP(C59,Inventory!$A$2:$J$501,9,FALSE),0))</f>
        <v/>
      </c>
      <c r="I59" s="13">
        <f>IF(C59="","",ROUND(E59*H59,2))</f>
        <v/>
      </c>
      <c r="J59" s="16" t="n"/>
      <c r="K59" s="16" t="n"/>
      <c r="L59" s="13">
        <f>IF(C59="","",ROUND(G59-I59-J59-K59,2))</f>
        <v/>
      </c>
      <c r="M59" s="15" t="n"/>
      <c r="N59" s="15" t="n"/>
      <c r="O59" s="12">
        <f>IF(C59="","",IFERROR(VLOOKUP(C59,Inventory!$A$2:$B$501,2,FALSE),"Unknown lot"))</f>
        <v/>
      </c>
      <c r="P59" s="12">
        <f>IF(D59="","",IFERROR(VLOOKUP(D59,Clients!$A$2:$B$501,2,FALSE),"Unknown client"))</f>
        <v/>
      </c>
      <c r="Q59" s="12">
        <f>IF(C59="","",IF(COUNTIF(Inventory!$A$2:$A$501,C59)&lt;&gt;1,"Check lot ID",IF(OR(A59="",B59="",E59="",F59=""),"Complete required fields",IF(COUNTIF($B$2:$B$501,B59)&gt;1,"Duplicate sale ID",IF(AND(D59&lt;&gt;"",COUNTIF(Clients!$A$2:$A$501,D59)&lt;&gt;1),"Check client ID",IF(VLOOKUP(C59,Inventory!$A$2:$L$501,12,FALSE)&lt;0,"OVER SOLD","OK"))))))</f>
        <v/>
      </c>
    </row>
    <row r="60" ht="23" customHeight="1">
      <c r="A60" s="17" t="n"/>
      <c r="B60" s="9" t="n"/>
      <c r="C60" s="9" t="n"/>
      <c r="D60" s="9" t="n"/>
      <c r="E60" s="10" t="n"/>
      <c r="F60" s="11" t="n"/>
      <c r="G60" s="13">
        <f>IF(C60="","",ROUND(E60*F60,2))</f>
        <v/>
      </c>
      <c r="H60" s="13">
        <f>IF(C60="","",IFERROR(VLOOKUP(C60,Inventory!$A$2:$J$501,9,FALSE),0))</f>
        <v/>
      </c>
      <c r="I60" s="13">
        <f>IF(C60="","",ROUND(E60*H60,2))</f>
        <v/>
      </c>
      <c r="J60" s="11" t="n"/>
      <c r="K60" s="11" t="n"/>
      <c r="L60" s="13">
        <f>IF(C60="","",ROUND(G60-I60-J60-K60,2))</f>
        <v/>
      </c>
      <c r="M60" s="10" t="n"/>
      <c r="N60" s="10" t="n"/>
      <c r="O60" s="12">
        <f>IF(C60="","",IFERROR(VLOOKUP(C60,Inventory!$A$2:$B$501,2,FALSE),"Unknown lot"))</f>
        <v/>
      </c>
      <c r="P60" s="12">
        <f>IF(D60="","",IFERROR(VLOOKUP(D60,Clients!$A$2:$B$501,2,FALSE),"Unknown client"))</f>
        <v/>
      </c>
      <c r="Q60" s="12">
        <f>IF(C60="","",IF(COUNTIF(Inventory!$A$2:$A$501,C60)&lt;&gt;1,"Check lot ID",IF(OR(A60="",B60="",E60="",F60=""),"Complete required fields",IF(COUNTIF($B$2:$B$501,B60)&gt;1,"Duplicate sale ID",IF(AND(D60&lt;&gt;"",COUNTIF(Clients!$A$2:$A$501,D60)&lt;&gt;1),"Check client ID",IF(VLOOKUP(C60,Inventory!$A$2:$L$501,12,FALSE)&lt;0,"OVER SOLD","OK"))))))</f>
        <v/>
      </c>
    </row>
    <row r="61" ht="23" customHeight="1">
      <c r="A61" s="18" t="n"/>
      <c r="B61" s="14" t="n"/>
      <c r="C61" s="14" t="n"/>
      <c r="D61" s="14" t="n"/>
      <c r="E61" s="15" t="n"/>
      <c r="F61" s="16" t="n"/>
      <c r="G61" s="13">
        <f>IF(C61="","",ROUND(E61*F61,2))</f>
        <v/>
      </c>
      <c r="H61" s="13">
        <f>IF(C61="","",IFERROR(VLOOKUP(C61,Inventory!$A$2:$J$501,9,FALSE),0))</f>
        <v/>
      </c>
      <c r="I61" s="13">
        <f>IF(C61="","",ROUND(E61*H61,2))</f>
        <v/>
      </c>
      <c r="J61" s="16" t="n"/>
      <c r="K61" s="16" t="n"/>
      <c r="L61" s="13">
        <f>IF(C61="","",ROUND(G61-I61-J61-K61,2))</f>
        <v/>
      </c>
      <c r="M61" s="15" t="n"/>
      <c r="N61" s="15" t="n"/>
      <c r="O61" s="12">
        <f>IF(C61="","",IFERROR(VLOOKUP(C61,Inventory!$A$2:$B$501,2,FALSE),"Unknown lot"))</f>
        <v/>
      </c>
      <c r="P61" s="12">
        <f>IF(D61="","",IFERROR(VLOOKUP(D61,Clients!$A$2:$B$501,2,FALSE),"Unknown client"))</f>
        <v/>
      </c>
      <c r="Q61" s="12">
        <f>IF(C61="","",IF(COUNTIF(Inventory!$A$2:$A$501,C61)&lt;&gt;1,"Check lot ID",IF(OR(A61="",B61="",E61="",F61=""),"Complete required fields",IF(COUNTIF($B$2:$B$501,B61)&gt;1,"Duplicate sale ID",IF(AND(D61&lt;&gt;"",COUNTIF(Clients!$A$2:$A$501,D61)&lt;&gt;1),"Check client ID",IF(VLOOKUP(C61,Inventory!$A$2:$L$501,12,FALSE)&lt;0,"OVER SOLD","OK"))))))</f>
        <v/>
      </c>
    </row>
    <row r="62" ht="23" customHeight="1">
      <c r="A62" s="17" t="n"/>
      <c r="B62" s="9" t="n"/>
      <c r="C62" s="9" t="n"/>
      <c r="D62" s="9" t="n"/>
      <c r="E62" s="10" t="n"/>
      <c r="F62" s="11" t="n"/>
      <c r="G62" s="13">
        <f>IF(C62="","",ROUND(E62*F62,2))</f>
        <v/>
      </c>
      <c r="H62" s="13">
        <f>IF(C62="","",IFERROR(VLOOKUP(C62,Inventory!$A$2:$J$501,9,FALSE),0))</f>
        <v/>
      </c>
      <c r="I62" s="13">
        <f>IF(C62="","",ROUND(E62*H62,2))</f>
        <v/>
      </c>
      <c r="J62" s="11" t="n"/>
      <c r="K62" s="11" t="n"/>
      <c r="L62" s="13">
        <f>IF(C62="","",ROUND(G62-I62-J62-K62,2))</f>
        <v/>
      </c>
      <c r="M62" s="10" t="n"/>
      <c r="N62" s="10" t="n"/>
      <c r="O62" s="12">
        <f>IF(C62="","",IFERROR(VLOOKUP(C62,Inventory!$A$2:$B$501,2,FALSE),"Unknown lot"))</f>
        <v/>
      </c>
      <c r="P62" s="12">
        <f>IF(D62="","",IFERROR(VLOOKUP(D62,Clients!$A$2:$B$501,2,FALSE),"Unknown client"))</f>
        <v/>
      </c>
      <c r="Q62" s="12">
        <f>IF(C62="","",IF(COUNTIF(Inventory!$A$2:$A$501,C62)&lt;&gt;1,"Check lot ID",IF(OR(A62="",B62="",E62="",F62=""),"Complete required fields",IF(COUNTIF($B$2:$B$501,B62)&gt;1,"Duplicate sale ID",IF(AND(D62&lt;&gt;"",COUNTIF(Clients!$A$2:$A$501,D62)&lt;&gt;1),"Check client ID",IF(VLOOKUP(C62,Inventory!$A$2:$L$501,12,FALSE)&lt;0,"OVER SOLD","OK"))))))</f>
        <v/>
      </c>
    </row>
    <row r="63" ht="23" customHeight="1">
      <c r="A63" s="18" t="n"/>
      <c r="B63" s="14" t="n"/>
      <c r="C63" s="14" t="n"/>
      <c r="D63" s="14" t="n"/>
      <c r="E63" s="15" t="n"/>
      <c r="F63" s="16" t="n"/>
      <c r="G63" s="13">
        <f>IF(C63="","",ROUND(E63*F63,2))</f>
        <v/>
      </c>
      <c r="H63" s="13">
        <f>IF(C63="","",IFERROR(VLOOKUP(C63,Inventory!$A$2:$J$501,9,FALSE),0))</f>
        <v/>
      </c>
      <c r="I63" s="13">
        <f>IF(C63="","",ROUND(E63*H63,2))</f>
        <v/>
      </c>
      <c r="J63" s="16" t="n"/>
      <c r="K63" s="16" t="n"/>
      <c r="L63" s="13">
        <f>IF(C63="","",ROUND(G63-I63-J63-K63,2))</f>
        <v/>
      </c>
      <c r="M63" s="15" t="n"/>
      <c r="N63" s="15" t="n"/>
      <c r="O63" s="12">
        <f>IF(C63="","",IFERROR(VLOOKUP(C63,Inventory!$A$2:$B$501,2,FALSE),"Unknown lot"))</f>
        <v/>
      </c>
      <c r="P63" s="12">
        <f>IF(D63="","",IFERROR(VLOOKUP(D63,Clients!$A$2:$B$501,2,FALSE),"Unknown client"))</f>
        <v/>
      </c>
      <c r="Q63" s="12">
        <f>IF(C63="","",IF(COUNTIF(Inventory!$A$2:$A$501,C63)&lt;&gt;1,"Check lot ID",IF(OR(A63="",B63="",E63="",F63=""),"Complete required fields",IF(COUNTIF($B$2:$B$501,B63)&gt;1,"Duplicate sale ID",IF(AND(D63&lt;&gt;"",COUNTIF(Clients!$A$2:$A$501,D63)&lt;&gt;1),"Check client ID",IF(VLOOKUP(C63,Inventory!$A$2:$L$501,12,FALSE)&lt;0,"OVER SOLD","OK"))))))</f>
        <v/>
      </c>
    </row>
    <row r="64" ht="23" customHeight="1">
      <c r="A64" s="17" t="n"/>
      <c r="B64" s="9" t="n"/>
      <c r="C64" s="9" t="n"/>
      <c r="D64" s="9" t="n"/>
      <c r="E64" s="10" t="n"/>
      <c r="F64" s="11" t="n"/>
      <c r="G64" s="13">
        <f>IF(C64="","",ROUND(E64*F64,2))</f>
        <v/>
      </c>
      <c r="H64" s="13">
        <f>IF(C64="","",IFERROR(VLOOKUP(C64,Inventory!$A$2:$J$501,9,FALSE),0))</f>
        <v/>
      </c>
      <c r="I64" s="13">
        <f>IF(C64="","",ROUND(E64*H64,2))</f>
        <v/>
      </c>
      <c r="J64" s="11" t="n"/>
      <c r="K64" s="11" t="n"/>
      <c r="L64" s="13">
        <f>IF(C64="","",ROUND(G64-I64-J64-K64,2))</f>
        <v/>
      </c>
      <c r="M64" s="10" t="n"/>
      <c r="N64" s="10" t="n"/>
      <c r="O64" s="12">
        <f>IF(C64="","",IFERROR(VLOOKUP(C64,Inventory!$A$2:$B$501,2,FALSE),"Unknown lot"))</f>
        <v/>
      </c>
      <c r="P64" s="12">
        <f>IF(D64="","",IFERROR(VLOOKUP(D64,Clients!$A$2:$B$501,2,FALSE),"Unknown client"))</f>
        <v/>
      </c>
      <c r="Q64" s="12">
        <f>IF(C64="","",IF(COUNTIF(Inventory!$A$2:$A$501,C64)&lt;&gt;1,"Check lot ID",IF(OR(A64="",B64="",E64="",F64=""),"Complete required fields",IF(COUNTIF($B$2:$B$501,B64)&gt;1,"Duplicate sale ID",IF(AND(D64&lt;&gt;"",COUNTIF(Clients!$A$2:$A$501,D64)&lt;&gt;1),"Check client ID",IF(VLOOKUP(C64,Inventory!$A$2:$L$501,12,FALSE)&lt;0,"OVER SOLD","OK"))))))</f>
        <v/>
      </c>
    </row>
    <row r="65" ht="23" customHeight="1">
      <c r="A65" s="18" t="n"/>
      <c r="B65" s="14" t="n"/>
      <c r="C65" s="14" t="n"/>
      <c r="D65" s="14" t="n"/>
      <c r="E65" s="15" t="n"/>
      <c r="F65" s="16" t="n"/>
      <c r="G65" s="13">
        <f>IF(C65="","",ROUND(E65*F65,2))</f>
        <v/>
      </c>
      <c r="H65" s="13">
        <f>IF(C65="","",IFERROR(VLOOKUP(C65,Inventory!$A$2:$J$501,9,FALSE),0))</f>
        <v/>
      </c>
      <c r="I65" s="13">
        <f>IF(C65="","",ROUND(E65*H65,2))</f>
        <v/>
      </c>
      <c r="J65" s="16" t="n"/>
      <c r="K65" s="16" t="n"/>
      <c r="L65" s="13">
        <f>IF(C65="","",ROUND(G65-I65-J65-K65,2))</f>
        <v/>
      </c>
      <c r="M65" s="15" t="n"/>
      <c r="N65" s="15" t="n"/>
      <c r="O65" s="12">
        <f>IF(C65="","",IFERROR(VLOOKUP(C65,Inventory!$A$2:$B$501,2,FALSE),"Unknown lot"))</f>
        <v/>
      </c>
      <c r="P65" s="12">
        <f>IF(D65="","",IFERROR(VLOOKUP(D65,Clients!$A$2:$B$501,2,FALSE),"Unknown client"))</f>
        <v/>
      </c>
      <c r="Q65" s="12">
        <f>IF(C65="","",IF(COUNTIF(Inventory!$A$2:$A$501,C65)&lt;&gt;1,"Check lot ID",IF(OR(A65="",B65="",E65="",F65=""),"Complete required fields",IF(COUNTIF($B$2:$B$501,B65)&gt;1,"Duplicate sale ID",IF(AND(D65&lt;&gt;"",COUNTIF(Clients!$A$2:$A$501,D65)&lt;&gt;1),"Check client ID",IF(VLOOKUP(C65,Inventory!$A$2:$L$501,12,FALSE)&lt;0,"OVER SOLD","OK"))))))</f>
        <v/>
      </c>
    </row>
    <row r="66" ht="23" customHeight="1">
      <c r="A66" s="17" t="n"/>
      <c r="B66" s="9" t="n"/>
      <c r="C66" s="9" t="n"/>
      <c r="D66" s="9" t="n"/>
      <c r="E66" s="10" t="n"/>
      <c r="F66" s="11" t="n"/>
      <c r="G66" s="13">
        <f>IF(C66="","",ROUND(E66*F66,2))</f>
        <v/>
      </c>
      <c r="H66" s="13">
        <f>IF(C66="","",IFERROR(VLOOKUP(C66,Inventory!$A$2:$J$501,9,FALSE),0))</f>
        <v/>
      </c>
      <c r="I66" s="13">
        <f>IF(C66="","",ROUND(E66*H66,2))</f>
        <v/>
      </c>
      <c r="J66" s="11" t="n"/>
      <c r="K66" s="11" t="n"/>
      <c r="L66" s="13">
        <f>IF(C66="","",ROUND(G66-I66-J66-K66,2))</f>
        <v/>
      </c>
      <c r="M66" s="10" t="n"/>
      <c r="N66" s="10" t="n"/>
      <c r="O66" s="12">
        <f>IF(C66="","",IFERROR(VLOOKUP(C66,Inventory!$A$2:$B$501,2,FALSE),"Unknown lot"))</f>
        <v/>
      </c>
      <c r="P66" s="12">
        <f>IF(D66="","",IFERROR(VLOOKUP(D66,Clients!$A$2:$B$501,2,FALSE),"Unknown client"))</f>
        <v/>
      </c>
      <c r="Q66" s="12">
        <f>IF(C66="","",IF(COUNTIF(Inventory!$A$2:$A$501,C66)&lt;&gt;1,"Check lot ID",IF(OR(A66="",B66="",E66="",F66=""),"Complete required fields",IF(COUNTIF($B$2:$B$501,B66)&gt;1,"Duplicate sale ID",IF(AND(D66&lt;&gt;"",COUNTIF(Clients!$A$2:$A$501,D66)&lt;&gt;1),"Check client ID",IF(VLOOKUP(C66,Inventory!$A$2:$L$501,12,FALSE)&lt;0,"OVER SOLD","OK"))))))</f>
        <v/>
      </c>
    </row>
    <row r="67" ht="23" customHeight="1">
      <c r="A67" s="18" t="n"/>
      <c r="B67" s="14" t="n"/>
      <c r="C67" s="14" t="n"/>
      <c r="D67" s="14" t="n"/>
      <c r="E67" s="15" t="n"/>
      <c r="F67" s="16" t="n"/>
      <c r="G67" s="13">
        <f>IF(C67="","",ROUND(E67*F67,2))</f>
        <v/>
      </c>
      <c r="H67" s="13">
        <f>IF(C67="","",IFERROR(VLOOKUP(C67,Inventory!$A$2:$J$501,9,FALSE),0))</f>
        <v/>
      </c>
      <c r="I67" s="13">
        <f>IF(C67="","",ROUND(E67*H67,2))</f>
        <v/>
      </c>
      <c r="J67" s="16" t="n"/>
      <c r="K67" s="16" t="n"/>
      <c r="L67" s="13">
        <f>IF(C67="","",ROUND(G67-I67-J67-K67,2))</f>
        <v/>
      </c>
      <c r="M67" s="15" t="n"/>
      <c r="N67" s="15" t="n"/>
      <c r="O67" s="12">
        <f>IF(C67="","",IFERROR(VLOOKUP(C67,Inventory!$A$2:$B$501,2,FALSE),"Unknown lot"))</f>
        <v/>
      </c>
      <c r="P67" s="12">
        <f>IF(D67="","",IFERROR(VLOOKUP(D67,Clients!$A$2:$B$501,2,FALSE),"Unknown client"))</f>
        <v/>
      </c>
      <c r="Q67" s="12">
        <f>IF(C67="","",IF(COUNTIF(Inventory!$A$2:$A$501,C67)&lt;&gt;1,"Check lot ID",IF(OR(A67="",B67="",E67="",F67=""),"Complete required fields",IF(COUNTIF($B$2:$B$501,B67)&gt;1,"Duplicate sale ID",IF(AND(D67&lt;&gt;"",COUNTIF(Clients!$A$2:$A$501,D67)&lt;&gt;1),"Check client ID",IF(VLOOKUP(C67,Inventory!$A$2:$L$501,12,FALSE)&lt;0,"OVER SOLD","OK"))))))</f>
        <v/>
      </c>
    </row>
    <row r="68" ht="23" customHeight="1">
      <c r="A68" s="17" t="n"/>
      <c r="B68" s="9" t="n"/>
      <c r="C68" s="9" t="n"/>
      <c r="D68" s="9" t="n"/>
      <c r="E68" s="10" t="n"/>
      <c r="F68" s="11" t="n"/>
      <c r="G68" s="13">
        <f>IF(C68="","",ROUND(E68*F68,2))</f>
        <v/>
      </c>
      <c r="H68" s="13">
        <f>IF(C68="","",IFERROR(VLOOKUP(C68,Inventory!$A$2:$J$501,9,FALSE),0))</f>
        <v/>
      </c>
      <c r="I68" s="13">
        <f>IF(C68="","",ROUND(E68*H68,2))</f>
        <v/>
      </c>
      <c r="J68" s="11" t="n"/>
      <c r="K68" s="11" t="n"/>
      <c r="L68" s="13">
        <f>IF(C68="","",ROUND(G68-I68-J68-K68,2))</f>
        <v/>
      </c>
      <c r="M68" s="10" t="n"/>
      <c r="N68" s="10" t="n"/>
      <c r="O68" s="12">
        <f>IF(C68="","",IFERROR(VLOOKUP(C68,Inventory!$A$2:$B$501,2,FALSE),"Unknown lot"))</f>
        <v/>
      </c>
      <c r="P68" s="12">
        <f>IF(D68="","",IFERROR(VLOOKUP(D68,Clients!$A$2:$B$501,2,FALSE),"Unknown client"))</f>
        <v/>
      </c>
      <c r="Q68" s="12">
        <f>IF(C68="","",IF(COUNTIF(Inventory!$A$2:$A$501,C68)&lt;&gt;1,"Check lot ID",IF(OR(A68="",B68="",E68="",F68=""),"Complete required fields",IF(COUNTIF($B$2:$B$501,B68)&gt;1,"Duplicate sale ID",IF(AND(D68&lt;&gt;"",COUNTIF(Clients!$A$2:$A$501,D68)&lt;&gt;1),"Check client ID",IF(VLOOKUP(C68,Inventory!$A$2:$L$501,12,FALSE)&lt;0,"OVER SOLD","OK"))))))</f>
        <v/>
      </c>
    </row>
    <row r="69" ht="23" customHeight="1">
      <c r="A69" s="18" t="n"/>
      <c r="B69" s="14" t="n"/>
      <c r="C69" s="14" t="n"/>
      <c r="D69" s="14" t="n"/>
      <c r="E69" s="15" t="n"/>
      <c r="F69" s="16" t="n"/>
      <c r="G69" s="13">
        <f>IF(C69="","",ROUND(E69*F69,2))</f>
        <v/>
      </c>
      <c r="H69" s="13">
        <f>IF(C69="","",IFERROR(VLOOKUP(C69,Inventory!$A$2:$J$501,9,FALSE),0))</f>
        <v/>
      </c>
      <c r="I69" s="13">
        <f>IF(C69="","",ROUND(E69*H69,2))</f>
        <v/>
      </c>
      <c r="J69" s="16" t="n"/>
      <c r="K69" s="16" t="n"/>
      <c r="L69" s="13">
        <f>IF(C69="","",ROUND(G69-I69-J69-K69,2))</f>
        <v/>
      </c>
      <c r="M69" s="15" t="n"/>
      <c r="N69" s="15" t="n"/>
      <c r="O69" s="12">
        <f>IF(C69="","",IFERROR(VLOOKUP(C69,Inventory!$A$2:$B$501,2,FALSE),"Unknown lot"))</f>
        <v/>
      </c>
      <c r="P69" s="12">
        <f>IF(D69="","",IFERROR(VLOOKUP(D69,Clients!$A$2:$B$501,2,FALSE),"Unknown client"))</f>
        <v/>
      </c>
      <c r="Q69" s="12">
        <f>IF(C69="","",IF(COUNTIF(Inventory!$A$2:$A$501,C69)&lt;&gt;1,"Check lot ID",IF(OR(A69="",B69="",E69="",F69=""),"Complete required fields",IF(COUNTIF($B$2:$B$501,B69)&gt;1,"Duplicate sale ID",IF(AND(D69&lt;&gt;"",COUNTIF(Clients!$A$2:$A$501,D69)&lt;&gt;1),"Check client ID",IF(VLOOKUP(C69,Inventory!$A$2:$L$501,12,FALSE)&lt;0,"OVER SOLD","OK"))))))</f>
        <v/>
      </c>
    </row>
    <row r="70" ht="23" customHeight="1">
      <c r="A70" s="17" t="n"/>
      <c r="B70" s="9" t="n"/>
      <c r="C70" s="9" t="n"/>
      <c r="D70" s="9" t="n"/>
      <c r="E70" s="10" t="n"/>
      <c r="F70" s="11" t="n"/>
      <c r="G70" s="13">
        <f>IF(C70="","",ROUND(E70*F70,2))</f>
        <v/>
      </c>
      <c r="H70" s="13">
        <f>IF(C70="","",IFERROR(VLOOKUP(C70,Inventory!$A$2:$J$501,9,FALSE),0))</f>
        <v/>
      </c>
      <c r="I70" s="13">
        <f>IF(C70="","",ROUND(E70*H70,2))</f>
        <v/>
      </c>
      <c r="J70" s="11" t="n"/>
      <c r="K70" s="11" t="n"/>
      <c r="L70" s="13">
        <f>IF(C70="","",ROUND(G70-I70-J70-K70,2))</f>
        <v/>
      </c>
      <c r="M70" s="10" t="n"/>
      <c r="N70" s="10" t="n"/>
      <c r="O70" s="12">
        <f>IF(C70="","",IFERROR(VLOOKUP(C70,Inventory!$A$2:$B$501,2,FALSE),"Unknown lot"))</f>
        <v/>
      </c>
      <c r="P70" s="12">
        <f>IF(D70="","",IFERROR(VLOOKUP(D70,Clients!$A$2:$B$501,2,FALSE),"Unknown client"))</f>
        <v/>
      </c>
      <c r="Q70" s="12">
        <f>IF(C70="","",IF(COUNTIF(Inventory!$A$2:$A$501,C70)&lt;&gt;1,"Check lot ID",IF(OR(A70="",B70="",E70="",F70=""),"Complete required fields",IF(COUNTIF($B$2:$B$501,B70)&gt;1,"Duplicate sale ID",IF(AND(D70&lt;&gt;"",COUNTIF(Clients!$A$2:$A$501,D70)&lt;&gt;1),"Check client ID",IF(VLOOKUP(C70,Inventory!$A$2:$L$501,12,FALSE)&lt;0,"OVER SOLD","OK"))))))</f>
        <v/>
      </c>
    </row>
    <row r="71" ht="23" customHeight="1">
      <c r="A71" s="18" t="n"/>
      <c r="B71" s="14" t="n"/>
      <c r="C71" s="14" t="n"/>
      <c r="D71" s="14" t="n"/>
      <c r="E71" s="15" t="n"/>
      <c r="F71" s="16" t="n"/>
      <c r="G71" s="13">
        <f>IF(C71="","",ROUND(E71*F71,2))</f>
        <v/>
      </c>
      <c r="H71" s="13">
        <f>IF(C71="","",IFERROR(VLOOKUP(C71,Inventory!$A$2:$J$501,9,FALSE),0))</f>
        <v/>
      </c>
      <c r="I71" s="13">
        <f>IF(C71="","",ROUND(E71*H71,2))</f>
        <v/>
      </c>
      <c r="J71" s="16" t="n"/>
      <c r="K71" s="16" t="n"/>
      <c r="L71" s="13">
        <f>IF(C71="","",ROUND(G71-I71-J71-K71,2))</f>
        <v/>
      </c>
      <c r="M71" s="15" t="n"/>
      <c r="N71" s="15" t="n"/>
      <c r="O71" s="12">
        <f>IF(C71="","",IFERROR(VLOOKUP(C71,Inventory!$A$2:$B$501,2,FALSE),"Unknown lot"))</f>
        <v/>
      </c>
      <c r="P71" s="12">
        <f>IF(D71="","",IFERROR(VLOOKUP(D71,Clients!$A$2:$B$501,2,FALSE),"Unknown client"))</f>
        <v/>
      </c>
      <c r="Q71" s="12">
        <f>IF(C71="","",IF(COUNTIF(Inventory!$A$2:$A$501,C71)&lt;&gt;1,"Check lot ID",IF(OR(A71="",B71="",E71="",F71=""),"Complete required fields",IF(COUNTIF($B$2:$B$501,B71)&gt;1,"Duplicate sale ID",IF(AND(D71&lt;&gt;"",COUNTIF(Clients!$A$2:$A$501,D71)&lt;&gt;1),"Check client ID",IF(VLOOKUP(C71,Inventory!$A$2:$L$501,12,FALSE)&lt;0,"OVER SOLD","OK"))))))</f>
        <v/>
      </c>
    </row>
    <row r="72" ht="23" customHeight="1">
      <c r="A72" s="17" t="n"/>
      <c r="B72" s="9" t="n"/>
      <c r="C72" s="9" t="n"/>
      <c r="D72" s="9" t="n"/>
      <c r="E72" s="10" t="n"/>
      <c r="F72" s="11" t="n"/>
      <c r="G72" s="13">
        <f>IF(C72="","",ROUND(E72*F72,2))</f>
        <v/>
      </c>
      <c r="H72" s="13">
        <f>IF(C72="","",IFERROR(VLOOKUP(C72,Inventory!$A$2:$J$501,9,FALSE),0))</f>
        <v/>
      </c>
      <c r="I72" s="13">
        <f>IF(C72="","",ROUND(E72*H72,2))</f>
        <v/>
      </c>
      <c r="J72" s="11" t="n"/>
      <c r="K72" s="11" t="n"/>
      <c r="L72" s="13">
        <f>IF(C72="","",ROUND(G72-I72-J72-K72,2))</f>
        <v/>
      </c>
      <c r="M72" s="10" t="n"/>
      <c r="N72" s="10" t="n"/>
      <c r="O72" s="12">
        <f>IF(C72="","",IFERROR(VLOOKUP(C72,Inventory!$A$2:$B$501,2,FALSE),"Unknown lot"))</f>
        <v/>
      </c>
      <c r="P72" s="12">
        <f>IF(D72="","",IFERROR(VLOOKUP(D72,Clients!$A$2:$B$501,2,FALSE),"Unknown client"))</f>
        <v/>
      </c>
      <c r="Q72" s="12">
        <f>IF(C72="","",IF(COUNTIF(Inventory!$A$2:$A$501,C72)&lt;&gt;1,"Check lot ID",IF(OR(A72="",B72="",E72="",F72=""),"Complete required fields",IF(COUNTIF($B$2:$B$501,B72)&gt;1,"Duplicate sale ID",IF(AND(D72&lt;&gt;"",COUNTIF(Clients!$A$2:$A$501,D72)&lt;&gt;1),"Check client ID",IF(VLOOKUP(C72,Inventory!$A$2:$L$501,12,FALSE)&lt;0,"OVER SOLD","OK"))))))</f>
        <v/>
      </c>
    </row>
    <row r="73" ht="23" customHeight="1">
      <c r="A73" s="18" t="n"/>
      <c r="B73" s="14" t="n"/>
      <c r="C73" s="14" t="n"/>
      <c r="D73" s="14" t="n"/>
      <c r="E73" s="15" t="n"/>
      <c r="F73" s="16" t="n"/>
      <c r="G73" s="13">
        <f>IF(C73="","",ROUND(E73*F73,2))</f>
        <v/>
      </c>
      <c r="H73" s="13">
        <f>IF(C73="","",IFERROR(VLOOKUP(C73,Inventory!$A$2:$J$501,9,FALSE),0))</f>
        <v/>
      </c>
      <c r="I73" s="13">
        <f>IF(C73="","",ROUND(E73*H73,2))</f>
        <v/>
      </c>
      <c r="J73" s="16" t="n"/>
      <c r="K73" s="16" t="n"/>
      <c r="L73" s="13">
        <f>IF(C73="","",ROUND(G73-I73-J73-K73,2))</f>
        <v/>
      </c>
      <c r="M73" s="15" t="n"/>
      <c r="N73" s="15" t="n"/>
      <c r="O73" s="12">
        <f>IF(C73="","",IFERROR(VLOOKUP(C73,Inventory!$A$2:$B$501,2,FALSE),"Unknown lot"))</f>
        <v/>
      </c>
      <c r="P73" s="12">
        <f>IF(D73="","",IFERROR(VLOOKUP(D73,Clients!$A$2:$B$501,2,FALSE),"Unknown client"))</f>
        <v/>
      </c>
      <c r="Q73" s="12">
        <f>IF(C73="","",IF(COUNTIF(Inventory!$A$2:$A$501,C73)&lt;&gt;1,"Check lot ID",IF(OR(A73="",B73="",E73="",F73=""),"Complete required fields",IF(COUNTIF($B$2:$B$501,B73)&gt;1,"Duplicate sale ID",IF(AND(D73&lt;&gt;"",COUNTIF(Clients!$A$2:$A$501,D73)&lt;&gt;1),"Check client ID",IF(VLOOKUP(C73,Inventory!$A$2:$L$501,12,FALSE)&lt;0,"OVER SOLD","OK"))))))</f>
        <v/>
      </c>
    </row>
    <row r="74" ht="23" customHeight="1">
      <c r="A74" s="17" t="n"/>
      <c r="B74" s="9" t="n"/>
      <c r="C74" s="9" t="n"/>
      <c r="D74" s="9" t="n"/>
      <c r="E74" s="10" t="n"/>
      <c r="F74" s="11" t="n"/>
      <c r="G74" s="13">
        <f>IF(C74="","",ROUND(E74*F74,2))</f>
        <v/>
      </c>
      <c r="H74" s="13">
        <f>IF(C74="","",IFERROR(VLOOKUP(C74,Inventory!$A$2:$J$501,9,FALSE),0))</f>
        <v/>
      </c>
      <c r="I74" s="13">
        <f>IF(C74="","",ROUND(E74*H74,2))</f>
        <v/>
      </c>
      <c r="J74" s="11" t="n"/>
      <c r="K74" s="11" t="n"/>
      <c r="L74" s="13">
        <f>IF(C74="","",ROUND(G74-I74-J74-K74,2))</f>
        <v/>
      </c>
      <c r="M74" s="10" t="n"/>
      <c r="N74" s="10" t="n"/>
      <c r="O74" s="12">
        <f>IF(C74="","",IFERROR(VLOOKUP(C74,Inventory!$A$2:$B$501,2,FALSE),"Unknown lot"))</f>
        <v/>
      </c>
      <c r="P74" s="12">
        <f>IF(D74="","",IFERROR(VLOOKUP(D74,Clients!$A$2:$B$501,2,FALSE),"Unknown client"))</f>
        <v/>
      </c>
      <c r="Q74" s="12">
        <f>IF(C74="","",IF(COUNTIF(Inventory!$A$2:$A$501,C74)&lt;&gt;1,"Check lot ID",IF(OR(A74="",B74="",E74="",F74=""),"Complete required fields",IF(COUNTIF($B$2:$B$501,B74)&gt;1,"Duplicate sale ID",IF(AND(D74&lt;&gt;"",COUNTIF(Clients!$A$2:$A$501,D74)&lt;&gt;1),"Check client ID",IF(VLOOKUP(C74,Inventory!$A$2:$L$501,12,FALSE)&lt;0,"OVER SOLD","OK"))))))</f>
        <v/>
      </c>
    </row>
    <row r="75" ht="23" customHeight="1">
      <c r="A75" s="18" t="n"/>
      <c r="B75" s="14" t="n"/>
      <c r="C75" s="14" t="n"/>
      <c r="D75" s="14" t="n"/>
      <c r="E75" s="15" t="n"/>
      <c r="F75" s="16" t="n"/>
      <c r="G75" s="13">
        <f>IF(C75="","",ROUND(E75*F75,2))</f>
        <v/>
      </c>
      <c r="H75" s="13">
        <f>IF(C75="","",IFERROR(VLOOKUP(C75,Inventory!$A$2:$J$501,9,FALSE),0))</f>
        <v/>
      </c>
      <c r="I75" s="13">
        <f>IF(C75="","",ROUND(E75*H75,2))</f>
        <v/>
      </c>
      <c r="J75" s="16" t="n"/>
      <c r="K75" s="16" t="n"/>
      <c r="L75" s="13">
        <f>IF(C75="","",ROUND(G75-I75-J75-K75,2))</f>
        <v/>
      </c>
      <c r="M75" s="15" t="n"/>
      <c r="N75" s="15" t="n"/>
      <c r="O75" s="12">
        <f>IF(C75="","",IFERROR(VLOOKUP(C75,Inventory!$A$2:$B$501,2,FALSE),"Unknown lot"))</f>
        <v/>
      </c>
      <c r="P75" s="12">
        <f>IF(D75="","",IFERROR(VLOOKUP(D75,Clients!$A$2:$B$501,2,FALSE),"Unknown client"))</f>
        <v/>
      </c>
      <c r="Q75" s="12">
        <f>IF(C75="","",IF(COUNTIF(Inventory!$A$2:$A$501,C75)&lt;&gt;1,"Check lot ID",IF(OR(A75="",B75="",E75="",F75=""),"Complete required fields",IF(COUNTIF($B$2:$B$501,B75)&gt;1,"Duplicate sale ID",IF(AND(D75&lt;&gt;"",COUNTIF(Clients!$A$2:$A$501,D75)&lt;&gt;1),"Check client ID",IF(VLOOKUP(C75,Inventory!$A$2:$L$501,12,FALSE)&lt;0,"OVER SOLD","OK"))))))</f>
        <v/>
      </c>
    </row>
    <row r="76" ht="23" customHeight="1">
      <c r="A76" s="17" t="n"/>
      <c r="B76" s="9" t="n"/>
      <c r="C76" s="9" t="n"/>
      <c r="D76" s="9" t="n"/>
      <c r="E76" s="10" t="n"/>
      <c r="F76" s="11" t="n"/>
      <c r="G76" s="13">
        <f>IF(C76="","",ROUND(E76*F76,2))</f>
        <v/>
      </c>
      <c r="H76" s="13">
        <f>IF(C76="","",IFERROR(VLOOKUP(C76,Inventory!$A$2:$J$501,9,FALSE),0))</f>
        <v/>
      </c>
      <c r="I76" s="13">
        <f>IF(C76="","",ROUND(E76*H76,2))</f>
        <v/>
      </c>
      <c r="J76" s="11" t="n"/>
      <c r="K76" s="11" t="n"/>
      <c r="L76" s="13">
        <f>IF(C76="","",ROUND(G76-I76-J76-K76,2))</f>
        <v/>
      </c>
      <c r="M76" s="10" t="n"/>
      <c r="N76" s="10" t="n"/>
      <c r="O76" s="12">
        <f>IF(C76="","",IFERROR(VLOOKUP(C76,Inventory!$A$2:$B$501,2,FALSE),"Unknown lot"))</f>
        <v/>
      </c>
      <c r="P76" s="12">
        <f>IF(D76="","",IFERROR(VLOOKUP(D76,Clients!$A$2:$B$501,2,FALSE),"Unknown client"))</f>
        <v/>
      </c>
      <c r="Q76" s="12">
        <f>IF(C76="","",IF(COUNTIF(Inventory!$A$2:$A$501,C76)&lt;&gt;1,"Check lot ID",IF(OR(A76="",B76="",E76="",F76=""),"Complete required fields",IF(COUNTIF($B$2:$B$501,B76)&gt;1,"Duplicate sale ID",IF(AND(D76&lt;&gt;"",COUNTIF(Clients!$A$2:$A$501,D76)&lt;&gt;1),"Check client ID",IF(VLOOKUP(C76,Inventory!$A$2:$L$501,12,FALSE)&lt;0,"OVER SOLD","OK"))))))</f>
        <v/>
      </c>
    </row>
    <row r="77" ht="23" customHeight="1">
      <c r="A77" s="18" t="n"/>
      <c r="B77" s="14" t="n"/>
      <c r="C77" s="14" t="n"/>
      <c r="D77" s="14" t="n"/>
      <c r="E77" s="15" t="n"/>
      <c r="F77" s="16" t="n"/>
      <c r="G77" s="13">
        <f>IF(C77="","",ROUND(E77*F77,2))</f>
        <v/>
      </c>
      <c r="H77" s="13">
        <f>IF(C77="","",IFERROR(VLOOKUP(C77,Inventory!$A$2:$J$501,9,FALSE),0))</f>
        <v/>
      </c>
      <c r="I77" s="13">
        <f>IF(C77="","",ROUND(E77*H77,2))</f>
        <v/>
      </c>
      <c r="J77" s="16" t="n"/>
      <c r="K77" s="16" t="n"/>
      <c r="L77" s="13">
        <f>IF(C77="","",ROUND(G77-I77-J77-K77,2))</f>
        <v/>
      </c>
      <c r="M77" s="15" t="n"/>
      <c r="N77" s="15" t="n"/>
      <c r="O77" s="12">
        <f>IF(C77="","",IFERROR(VLOOKUP(C77,Inventory!$A$2:$B$501,2,FALSE),"Unknown lot"))</f>
        <v/>
      </c>
      <c r="P77" s="12">
        <f>IF(D77="","",IFERROR(VLOOKUP(D77,Clients!$A$2:$B$501,2,FALSE),"Unknown client"))</f>
        <v/>
      </c>
      <c r="Q77" s="12">
        <f>IF(C77="","",IF(COUNTIF(Inventory!$A$2:$A$501,C77)&lt;&gt;1,"Check lot ID",IF(OR(A77="",B77="",E77="",F77=""),"Complete required fields",IF(COUNTIF($B$2:$B$501,B77)&gt;1,"Duplicate sale ID",IF(AND(D77&lt;&gt;"",COUNTIF(Clients!$A$2:$A$501,D77)&lt;&gt;1),"Check client ID",IF(VLOOKUP(C77,Inventory!$A$2:$L$501,12,FALSE)&lt;0,"OVER SOLD","OK"))))))</f>
        <v/>
      </c>
    </row>
    <row r="78" ht="23" customHeight="1">
      <c r="A78" s="17" t="n"/>
      <c r="B78" s="9" t="n"/>
      <c r="C78" s="9" t="n"/>
      <c r="D78" s="9" t="n"/>
      <c r="E78" s="10" t="n"/>
      <c r="F78" s="11" t="n"/>
      <c r="G78" s="13">
        <f>IF(C78="","",ROUND(E78*F78,2))</f>
        <v/>
      </c>
      <c r="H78" s="13">
        <f>IF(C78="","",IFERROR(VLOOKUP(C78,Inventory!$A$2:$J$501,9,FALSE),0))</f>
        <v/>
      </c>
      <c r="I78" s="13">
        <f>IF(C78="","",ROUND(E78*H78,2))</f>
        <v/>
      </c>
      <c r="J78" s="11" t="n"/>
      <c r="K78" s="11" t="n"/>
      <c r="L78" s="13">
        <f>IF(C78="","",ROUND(G78-I78-J78-K78,2))</f>
        <v/>
      </c>
      <c r="M78" s="10" t="n"/>
      <c r="N78" s="10" t="n"/>
      <c r="O78" s="12">
        <f>IF(C78="","",IFERROR(VLOOKUP(C78,Inventory!$A$2:$B$501,2,FALSE),"Unknown lot"))</f>
        <v/>
      </c>
      <c r="P78" s="12">
        <f>IF(D78="","",IFERROR(VLOOKUP(D78,Clients!$A$2:$B$501,2,FALSE),"Unknown client"))</f>
        <v/>
      </c>
      <c r="Q78" s="12">
        <f>IF(C78="","",IF(COUNTIF(Inventory!$A$2:$A$501,C78)&lt;&gt;1,"Check lot ID",IF(OR(A78="",B78="",E78="",F78=""),"Complete required fields",IF(COUNTIF($B$2:$B$501,B78)&gt;1,"Duplicate sale ID",IF(AND(D78&lt;&gt;"",COUNTIF(Clients!$A$2:$A$501,D78)&lt;&gt;1),"Check client ID",IF(VLOOKUP(C78,Inventory!$A$2:$L$501,12,FALSE)&lt;0,"OVER SOLD","OK"))))))</f>
        <v/>
      </c>
    </row>
    <row r="79" ht="23" customHeight="1">
      <c r="A79" s="18" t="n"/>
      <c r="B79" s="14" t="n"/>
      <c r="C79" s="14" t="n"/>
      <c r="D79" s="14" t="n"/>
      <c r="E79" s="15" t="n"/>
      <c r="F79" s="16" t="n"/>
      <c r="G79" s="13">
        <f>IF(C79="","",ROUND(E79*F79,2))</f>
        <v/>
      </c>
      <c r="H79" s="13">
        <f>IF(C79="","",IFERROR(VLOOKUP(C79,Inventory!$A$2:$J$501,9,FALSE),0))</f>
        <v/>
      </c>
      <c r="I79" s="13">
        <f>IF(C79="","",ROUND(E79*H79,2))</f>
        <v/>
      </c>
      <c r="J79" s="16" t="n"/>
      <c r="K79" s="16" t="n"/>
      <c r="L79" s="13">
        <f>IF(C79="","",ROUND(G79-I79-J79-K79,2))</f>
        <v/>
      </c>
      <c r="M79" s="15" t="n"/>
      <c r="N79" s="15" t="n"/>
      <c r="O79" s="12">
        <f>IF(C79="","",IFERROR(VLOOKUP(C79,Inventory!$A$2:$B$501,2,FALSE),"Unknown lot"))</f>
        <v/>
      </c>
      <c r="P79" s="12">
        <f>IF(D79="","",IFERROR(VLOOKUP(D79,Clients!$A$2:$B$501,2,FALSE),"Unknown client"))</f>
        <v/>
      </c>
      <c r="Q79" s="12">
        <f>IF(C79="","",IF(COUNTIF(Inventory!$A$2:$A$501,C79)&lt;&gt;1,"Check lot ID",IF(OR(A79="",B79="",E79="",F79=""),"Complete required fields",IF(COUNTIF($B$2:$B$501,B79)&gt;1,"Duplicate sale ID",IF(AND(D79&lt;&gt;"",COUNTIF(Clients!$A$2:$A$501,D79)&lt;&gt;1),"Check client ID",IF(VLOOKUP(C79,Inventory!$A$2:$L$501,12,FALSE)&lt;0,"OVER SOLD","OK"))))))</f>
        <v/>
      </c>
    </row>
    <row r="80" ht="23" customHeight="1">
      <c r="A80" s="17" t="n"/>
      <c r="B80" s="9" t="n"/>
      <c r="C80" s="9" t="n"/>
      <c r="D80" s="9" t="n"/>
      <c r="E80" s="10" t="n"/>
      <c r="F80" s="11" t="n"/>
      <c r="G80" s="13">
        <f>IF(C80="","",ROUND(E80*F80,2))</f>
        <v/>
      </c>
      <c r="H80" s="13">
        <f>IF(C80="","",IFERROR(VLOOKUP(C80,Inventory!$A$2:$J$501,9,FALSE),0))</f>
        <v/>
      </c>
      <c r="I80" s="13">
        <f>IF(C80="","",ROUND(E80*H80,2))</f>
        <v/>
      </c>
      <c r="J80" s="11" t="n"/>
      <c r="K80" s="11" t="n"/>
      <c r="L80" s="13">
        <f>IF(C80="","",ROUND(G80-I80-J80-K80,2))</f>
        <v/>
      </c>
      <c r="M80" s="10" t="n"/>
      <c r="N80" s="10" t="n"/>
      <c r="O80" s="12">
        <f>IF(C80="","",IFERROR(VLOOKUP(C80,Inventory!$A$2:$B$501,2,FALSE),"Unknown lot"))</f>
        <v/>
      </c>
      <c r="P80" s="12">
        <f>IF(D80="","",IFERROR(VLOOKUP(D80,Clients!$A$2:$B$501,2,FALSE),"Unknown client"))</f>
        <v/>
      </c>
      <c r="Q80" s="12">
        <f>IF(C80="","",IF(COUNTIF(Inventory!$A$2:$A$501,C80)&lt;&gt;1,"Check lot ID",IF(OR(A80="",B80="",E80="",F80=""),"Complete required fields",IF(COUNTIF($B$2:$B$501,B80)&gt;1,"Duplicate sale ID",IF(AND(D80&lt;&gt;"",COUNTIF(Clients!$A$2:$A$501,D80)&lt;&gt;1),"Check client ID",IF(VLOOKUP(C80,Inventory!$A$2:$L$501,12,FALSE)&lt;0,"OVER SOLD","OK"))))))</f>
        <v/>
      </c>
    </row>
    <row r="81" ht="23" customHeight="1">
      <c r="A81" s="18" t="n"/>
      <c r="B81" s="14" t="n"/>
      <c r="C81" s="14" t="n"/>
      <c r="D81" s="14" t="n"/>
      <c r="E81" s="15" t="n"/>
      <c r="F81" s="16" t="n"/>
      <c r="G81" s="13">
        <f>IF(C81="","",ROUND(E81*F81,2))</f>
        <v/>
      </c>
      <c r="H81" s="13">
        <f>IF(C81="","",IFERROR(VLOOKUP(C81,Inventory!$A$2:$J$501,9,FALSE),0))</f>
        <v/>
      </c>
      <c r="I81" s="13">
        <f>IF(C81="","",ROUND(E81*H81,2))</f>
        <v/>
      </c>
      <c r="J81" s="16" t="n"/>
      <c r="K81" s="16" t="n"/>
      <c r="L81" s="13">
        <f>IF(C81="","",ROUND(G81-I81-J81-K81,2))</f>
        <v/>
      </c>
      <c r="M81" s="15" t="n"/>
      <c r="N81" s="15" t="n"/>
      <c r="O81" s="12">
        <f>IF(C81="","",IFERROR(VLOOKUP(C81,Inventory!$A$2:$B$501,2,FALSE),"Unknown lot"))</f>
        <v/>
      </c>
      <c r="P81" s="12">
        <f>IF(D81="","",IFERROR(VLOOKUP(D81,Clients!$A$2:$B$501,2,FALSE),"Unknown client"))</f>
        <v/>
      </c>
      <c r="Q81" s="12">
        <f>IF(C81="","",IF(COUNTIF(Inventory!$A$2:$A$501,C81)&lt;&gt;1,"Check lot ID",IF(OR(A81="",B81="",E81="",F81=""),"Complete required fields",IF(COUNTIF($B$2:$B$501,B81)&gt;1,"Duplicate sale ID",IF(AND(D81&lt;&gt;"",COUNTIF(Clients!$A$2:$A$501,D81)&lt;&gt;1),"Check client ID",IF(VLOOKUP(C81,Inventory!$A$2:$L$501,12,FALSE)&lt;0,"OVER SOLD","OK"))))))</f>
        <v/>
      </c>
    </row>
    <row r="82" ht="23" customHeight="1">
      <c r="A82" s="17" t="n"/>
      <c r="B82" s="9" t="n"/>
      <c r="C82" s="9" t="n"/>
      <c r="D82" s="9" t="n"/>
      <c r="E82" s="10" t="n"/>
      <c r="F82" s="11" t="n"/>
      <c r="G82" s="13">
        <f>IF(C82="","",ROUND(E82*F82,2))</f>
        <v/>
      </c>
      <c r="H82" s="13">
        <f>IF(C82="","",IFERROR(VLOOKUP(C82,Inventory!$A$2:$J$501,9,FALSE),0))</f>
        <v/>
      </c>
      <c r="I82" s="13">
        <f>IF(C82="","",ROUND(E82*H82,2))</f>
        <v/>
      </c>
      <c r="J82" s="11" t="n"/>
      <c r="K82" s="11" t="n"/>
      <c r="L82" s="13">
        <f>IF(C82="","",ROUND(G82-I82-J82-K82,2))</f>
        <v/>
      </c>
      <c r="M82" s="10" t="n"/>
      <c r="N82" s="10" t="n"/>
      <c r="O82" s="12">
        <f>IF(C82="","",IFERROR(VLOOKUP(C82,Inventory!$A$2:$B$501,2,FALSE),"Unknown lot"))</f>
        <v/>
      </c>
      <c r="P82" s="12">
        <f>IF(D82="","",IFERROR(VLOOKUP(D82,Clients!$A$2:$B$501,2,FALSE),"Unknown client"))</f>
        <v/>
      </c>
      <c r="Q82" s="12">
        <f>IF(C82="","",IF(COUNTIF(Inventory!$A$2:$A$501,C82)&lt;&gt;1,"Check lot ID",IF(OR(A82="",B82="",E82="",F82=""),"Complete required fields",IF(COUNTIF($B$2:$B$501,B82)&gt;1,"Duplicate sale ID",IF(AND(D82&lt;&gt;"",COUNTIF(Clients!$A$2:$A$501,D82)&lt;&gt;1),"Check client ID",IF(VLOOKUP(C82,Inventory!$A$2:$L$501,12,FALSE)&lt;0,"OVER SOLD","OK"))))))</f>
        <v/>
      </c>
    </row>
    <row r="83" ht="23" customHeight="1">
      <c r="A83" s="18" t="n"/>
      <c r="B83" s="14" t="n"/>
      <c r="C83" s="14" t="n"/>
      <c r="D83" s="14" t="n"/>
      <c r="E83" s="15" t="n"/>
      <c r="F83" s="16" t="n"/>
      <c r="G83" s="13">
        <f>IF(C83="","",ROUND(E83*F83,2))</f>
        <v/>
      </c>
      <c r="H83" s="13">
        <f>IF(C83="","",IFERROR(VLOOKUP(C83,Inventory!$A$2:$J$501,9,FALSE),0))</f>
        <v/>
      </c>
      <c r="I83" s="13">
        <f>IF(C83="","",ROUND(E83*H83,2))</f>
        <v/>
      </c>
      <c r="J83" s="16" t="n"/>
      <c r="K83" s="16" t="n"/>
      <c r="L83" s="13">
        <f>IF(C83="","",ROUND(G83-I83-J83-K83,2))</f>
        <v/>
      </c>
      <c r="M83" s="15" t="n"/>
      <c r="N83" s="15" t="n"/>
      <c r="O83" s="12">
        <f>IF(C83="","",IFERROR(VLOOKUP(C83,Inventory!$A$2:$B$501,2,FALSE),"Unknown lot"))</f>
        <v/>
      </c>
      <c r="P83" s="12">
        <f>IF(D83="","",IFERROR(VLOOKUP(D83,Clients!$A$2:$B$501,2,FALSE),"Unknown client"))</f>
        <v/>
      </c>
      <c r="Q83" s="12">
        <f>IF(C83="","",IF(COUNTIF(Inventory!$A$2:$A$501,C83)&lt;&gt;1,"Check lot ID",IF(OR(A83="",B83="",E83="",F83=""),"Complete required fields",IF(COUNTIF($B$2:$B$501,B83)&gt;1,"Duplicate sale ID",IF(AND(D83&lt;&gt;"",COUNTIF(Clients!$A$2:$A$501,D83)&lt;&gt;1),"Check client ID",IF(VLOOKUP(C83,Inventory!$A$2:$L$501,12,FALSE)&lt;0,"OVER SOLD","OK"))))))</f>
        <v/>
      </c>
    </row>
    <row r="84" ht="23" customHeight="1">
      <c r="A84" s="17" t="n"/>
      <c r="B84" s="9" t="n"/>
      <c r="C84" s="9" t="n"/>
      <c r="D84" s="9" t="n"/>
      <c r="E84" s="10" t="n"/>
      <c r="F84" s="11" t="n"/>
      <c r="G84" s="13">
        <f>IF(C84="","",ROUND(E84*F84,2))</f>
        <v/>
      </c>
      <c r="H84" s="13">
        <f>IF(C84="","",IFERROR(VLOOKUP(C84,Inventory!$A$2:$J$501,9,FALSE),0))</f>
        <v/>
      </c>
      <c r="I84" s="13">
        <f>IF(C84="","",ROUND(E84*H84,2))</f>
        <v/>
      </c>
      <c r="J84" s="11" t="n"/>
      <c r="K84" s="11" t="n"/>
      <c r="L84" s="13">
        <f>IF(C84="","",ROUND(G84-I84-J84-K84,2))</f>
        <v/>
      </c>
      <c r="M84" s="10" t="n"/>
      <c r="N84" s="10" t="n"/>
      <c r="O84" s="12">
        <f>IF(C84="","",IFERROR(VLOOKUP(C84,Inventory!$A$2:$B$501,2,FALSE),"Unknown lot"))</f>
        <v/>
      </c>
      <c r="P84" s="12">
        <f>IF(D84="","",IFERROR(VLOOKUP(D84,Clients!$A$2:$B$501,2,FALSE),"Unknown client"))</f>
        <v/>
      </c>
      <c r="Q84" s="12">
        <f>IF(C84="","",IF(COUNTIF(Inventory!$A$2:$A$501,C84)&lt;&gt;1,"Check lot ID",IF(OR(A84="",B84="",E84="",F84=""),"Complete required fields",IF(COUNTIF($B$2:$B$501,B84)&gt;1,"Duplicate sale ID",IF(AND(D84&lt;&gt;"",COUNTIF(Clients!$A$2:$A$501,D84)&lt;&gt;1),"Check client ID",IF(VLOOKUP(C84,Inventory!$A$2:$L$501,12,FALSE)&lt;0,"OVER SOLD","OK"))))))</f>
        <v/>
      </c>
    </row>
    <row r="85" ht="23" customHeight="1">
      <c r="A85" s="18" t="n"/>
      <c r="B85" s="14" t="n"/>
      <c r="C85" s="14" t="n"/>
      <c r="D85" s="14" t="n"/>
      <c r="E85" s="15" t="n"/>
      <c r="F85" s="16" t="n"/>
      <c r="G85" s="13">
        <f>IF(C85="","",ROUND(E85*F85,2))</f>
        <v/>
      </c>
      <c r="H85" s="13">
        <f>IF(C85="","",IFERROR(VLOOKUP(C85,Inventory!$A$2:$J$501,9,FALSE),0))</f>
        <v/>
      </c>
      <c r="I85" s="13">
        <f>IF(C85="","",ROUND(E85*H85,2))</f>
        <v/>
      </c>
      <c r="J85" s="16" t="n"/>
      <c r="K85" s="16" t="n"/>
      <c r="L85" s="13">
        <f>IF(C85="","",ROUND(G85-I85-J85-K85,2))</f>
        <v/>
      </c>
      <c r="M85" s="15" t="n"/>
      <c r="N85" s="15" t="n"/>
      <c r="O85" s="12">
        <f>IF(C85="","",IFERROR(VLOOKUP(C85,Inventory!$A$2:$B$501,2,FALSE),"Unknown lot"))</f>
        <v/>
      </c>
      <c r="P85" s="12">
        <f>IF(D85="","",IFERROR(VLOOKUP(D85,Clients!$A$2:$B$501,2,FALSE),"Unknown client"))</f>
        <v/>
      </c>
      <c r="Q85" s="12">
        <f>IF(C85="","",IF(COUNTIF(Inventory!$A$2:$A$501,C85)&lt;&gt;1,"Check lot ID",IF(OR(A85="",B85="",E85="",F85=""),"Complete required fields",IF(COUNTIF($B$2:$B$501,B85)&gt;1,"Duplicate sale ID",IF(AND(D85&lt;&gt;"",COUNTIF(Clients!$A$2:$A$501,D85)&lt;&gt;1),"Check client ID",IF(VLOOKUP(C85,Inventory!$A$2:$L$501,12,FALSE)&lt;0,"OVER SOLD","OK"))))))</f>
        <v/>
      </c>
    </row>
    <row r="86" ht="23" customHeight="1">
      <c r="A86" s="17" t="n"/>
      <c r="B86" s="9" t="n"/>
      <c r="C86" s="9" t="n"/>
      <c r="D86" s="9" t="n"/>
      <c r="E86" s="10" t="n"/>
      <c r="F86" s="11" t="n"/>
      <c r="G86" s="13">
        <f>IF(C86="","",ROUND(E86*F86,2))</f>
        <v/>
      </c>
      <c r="H86" s="13">
        <f>IF(C86="","",IFERROR(VLOOKUP(C86,Inventory!$A$2:$J$501,9,FALSE),0))</f>
        <v/>
      </c>
      <c r="I86" s="13">
        <f>IF(C86="","",ROUND(E86*H86,2))</f>
        <v/>
      </c>
      <c r="J86" s="11" t="n"/>
      <c r="K86" s="11" t="n"/>
      <c r="L86" s="13">
        <f>IF(C86="","",ROUND(G86-I86-J86-K86,2))</f>
        <v/>
      </c>
      <c r="M86" s="10" t="n"/>
      <c r="N86" s="10" t="n"/>
      <c r="O86" s="12">
        <f>IF(C86="","",IFERROR(VLOOKUP(C86,Inventory!$A$2:$B$501,2,FALSE),"Unknown lot"))</f>
        <v/>
      </c>
      <c r="P86" s="12">
        <f>IF(D86="","",IFERROR(VLOOKUP(D86,Clients!$A$2:$B$501,2,FALSE),"Unknown client"))</f>
        <v/>
      </c>
      <c r="Q86" s="12">
        <f>IF(C86="","",IF(COUNTIF(Inventory!$A$2:$A$501,C86)&lt;&gt;1,"Check lot ID",IF(OR(A86="",B86="",E86="",F86=""),"Complete required fields",IF(COUNTIF($B$2:$B$501,B86)&gt;1,"Duplicate sale ID",IF(AND(D86&lt;&gt;"",COUNTIF(Clients!$A$2:$A$501,D86)&lt;&gt;1),"Check client ID",IF(VLOOKUP(C86,Inventory!$A$2:$L$501,12,FALSE)&lt;0,"OVER SOLD","OK"))))))</f>
        <v/>
      </c>
    </row>
    <row r="87" ht="23" customHeight="1">
      <c r="A87" s="18" t="n"/>
      <c r="B87" s="14" t="n"/>
      <c r="C87" s="14" t="n"/>
      <c r="D87" s="14" t="n"/>
      <c r="E87" s="15" t="n"/>
      <c r="F87" s="16" t="n"/>
      <c r="G87" s="13">
        <f>IF(C87="","",ROUND(E87*F87,2))</f>
        <v/>
      </c>
      <c r="H87" s="13">
        <f>IF(C87="","",IFERROR(VLOOKUP(C87,Inventory!$A$2:$J$501,9,FALSE),0))</f>
        <v/>
      </c>
      <c r="I87" s="13">
        <f>IF(C87="","",ROUND(E87*H87,2))</f>
        <v/>
      </c>
      <c r="J87" s="16" t="n"/>
      <c r="K87" s="16" t="n"/>
      <c r="L87" s="13">
        <f>IF(C87="","",ROUND(G87-I87-J87-K87,2))</f>
        <v/>
      </c>
      <c r="M87" s="15" t="n"/>
      <c r="N87" s="15" t="n"/>
      <c r="O87" s="12">
        <f>IF(C87="","",IFERROR(VLOOKUP(C87,Inventory!$A$2:$B$501,2,FALSE),"Unknown lot"))</f>
        <v/>
      </c>
      <c r="P87" s="12">
        <f>IF(D87="","",IFERROR(VLOOKUP(D87,Clients!$A$2:$B$501,2,FALSE),"Unknown client"))</f>
        <v/>
      </c>
      <c r="Q87" s="12">
        <f>IF(C87="","",IF(COUNTIF(Inventory!$A$2:$A$501,C87)&lt;&gt;1,"Check lot ID",IF(OR(A87="",B87="",E87="",F87=""),"Complete required fields",IF(COUNTIF($B$2:$B$501,B87)&gt;1,"Duplicate sale ID",IF(AND(D87&lt;&gt;"",COUNTIF(Clients!$A$2:$A$501,D87)&lt;&gt;1),"Check client ID",IF(VLOOKUP(C87,Inventory!$A$2:$L$501,12,FALSE)&lt;0,"OVER SOLD","OK"))))))</f>
        <v/>
      </c>
    </row>
    <row r="88" ht="23" customHeight="1">
      <c r="A88" s="17" t="n"/>
      <c r="B88" s="9" t="n"/>
      <c r="C88" s="9" t="n"/>
      <c r="D88" s="9" t="n"/>
      <c r="E88" s="10" t="n"/>
      <c r="F88" s="11" t="n"/>
      <c r="G88" s="13">
        <f>IF(C88="","",ROUND(E88*F88,2))</f>
        <v/>
      </c>
      <c r="H88" s="13">
        <f>IF(C88="","",IFERROR(VLOOKUP(C88,Inventory!$A$2:$J$501,9,FALSE),0))</f>
        <v/>
      </c>
      <c r="I88" s="13">
        <f>IF(C88="","",ROUND(E88*H88,2))</f>
        <v/>
      </c>
      <c r="J88" s="11" t="n"/>
      <c r="K88" s="11" t="n"/>
      <c r="L88" s="13">
        <f>IF(C88="","",ROUND(G88-I88-J88-K88,2))</f>
        <v/>
      </c>
      <c r="M88" s="10" t="n"/>
      <c r="N88" s="10" t="n"/>
      <c r="O88" s="12">
        <f>IF(C88="","",IFERROR(VLOOKUP(C88,Inventory!$A$2:$B$501,2,FALSE),"Unknown lot"))</f>
        <v/>
      </c>
      <c r="P88" s="12">
        <f>IF(D88="","",IFERROR(VLOOKUP(D88,Clients!$A$2:$B$501,2,FALSE),"Unknown client"))</f>
        <v/>
      </c>
      <c r="Q88" s="12">
        <f>IF(C88="","",IF(COUNTIF(Inventory!$A$2:$A$501,C88)&lt;&gt;1,"Check lot ID",IF(OR(A88="",B88="",E88="",F88=""),"Complete required fields",IF(COUNTIF($B$2:$B$501,B88)&gt;1,"Duplicate sale ID",IF(AND(D88&lt;&gt;"",COUNTIF(Clients!$A$2:$A$501,D88)&lt;&gt;1),"Check client ID",IF(VLOOKUP(C88,Inventory!$A$2:$L$501,12,FALSE)&lt;0,"OVER SOLD","OK"))))))</f>
        <v/>
      </c>
    </row>
    <row r="89" ht="23" customHeight="1">
      <c r="A89" s="18" t="n"/>
      <c r="B89" s="14" t="n"/>
      <c r="C89" s="14" t="n"/>
      <c r="D89" s="14" t="n"/>
      <c r="E89" s="15" t="n"/>
      <c r="F89" s="16" t="n"/>
      <c r="G89" s="13">
        <f>IF(C89="","",ROUND(E89*F89,2))</f>
        <v/>
      </c>
      <c r="H89" s="13">
        <f>IF(C89="","",IFERROR(VLOOKUP(C89,Inventory!$A$2:$J$501,9,FALSE),0))</f>
        <v/>
      </c>
      <c r="I89" s="13">
        <f>IF(C89="","",ROUND(E89*H89,2))</f>
        <v/>
      </c>
      <c r="J89" s="16" t="n"/>
      <c r="K89" s="16" t="n"/>
      <c r="L89" s="13">
        <f>IF(C89="","",ROUND(G89-I89-J89-K89,2))</f>
        <v/>
      </c>
      <c r="M89" s="15" t="n"/>
      <c r="N89" s="15" t="n"/>
      <c r="O89" s="12">
        <f>IF(C89="","",IFERROR(VLOOKUP(C89,Inventory!$A$2:$B$501,2,FALSE),"Unknown lot"))</f>
        <v/>
      </c>
      <c r="P89" s="12">
        <f>IF(D89="","",IFERROR(VLOOKUP(D89,Clients!$A$2:$B$501,2,FALSE),"Unknown client"))</f>
        <v/>
      </c>
      <c r="Q89" s="12">
        <f>IF(C89="","",IF(COUNTIF(Inventory!$A$2:$A$501,C89)&lt;&gt;1,"Check lot ID",IF(OR(A89="",B89="",E89="",F89=""),"Complete required fields",IF(COUNTIF($B$2:$B$501,B89)&gt;1,"Duplicate sale ID",IF(AND(D89&lt;&gt;"",COUNTIF(Clients!$A$2:$A$501,D89)&lt;&gt;1),"Check client ID",IF(VLOOKUP(C89,Inventory!$A$2:$L$501,12,FALSE)&lt;0,"OVER SOLD","OK"))))))</f>
        <v/>
      </c>
    </row>
    <row r="90" ht="23" customHeight="1">
      <c r="A90" s="17" t="n"/>
      <c r="B90" s="9" t="n"/>
      <c r="C90" s="9" t="n"/>
      <c r="D90" s="9" t="n"/>
      <c r="E90" s="10" t="n"/>
      <c r="F90" s="11" t="n"/>
      <c r="G90" s="13">
        <f>IF(C90="","",ROUND(E90*F90,2))</f>
        <v/>
      </c>
      <c r="H90" s="13">
        <f>IF(C90="","",IFERROR(VLOOKUP(C90,Inventory!$A$2:$J$501,9,FALSE),0))</f>
        <v/>
      </c>
      <c r="I90" s="13">
        <f>IF(C90="","",ROUND(E90*H90,2))</f>
        <v/>
      </c>
      <c r="J90" s="11" t="n"/>
      <c r="K90" s="11" t="n"/>
      <c r="L90" s="13">
        <f>IF(C90="","",ROUND(G90-I90-J90-K90,2))</f>
        <v/>
      </c>
      <c r="M90" s="10" t="n"/>
      <c r="N90" s="10" t="n"/>
      <c r="O90" s="12">
        <f>IF(C90="","",IFERROR(VLOOKUP(C90,Inventory!$A$2:$B$501,2,FALSE),"Unknown lot"))</f>
        <v/>
      </c>
      <c r="P90" s="12">
        <f>IF(D90="","",IFERROR(VLOOKUP(D90,Clients!$A$2:$B$501,2,FALSE),"Unknown client"))</f>
        <v/>
      </c>
      <c r="Q90" s="12">
        <f>IF(C90="","",IF(COUNTIF(Inventory!$A$2:$A$501,C90)&lt;&gt;1,"Check lot ID",IF(OR(A90="",B90="",E90="",F90=""),"Complete required fields",IF(COUNTIF($B$2:$B$501,B90)&gt;1,"Duplicate sale ID",IF(AND(D90&lt;&gt;"",COUNTIF(Clients!$A$2:$A$501,D90)&lt;&gt;1),"Check client ID",IF(VLOOKUP(C90,Inventory!$A$2:$L$501,12,FALSE)&lt;0,"OVER SOLD","OK"))))))</f>
        <v/>
      </c>
    </row>
    <row r="91" ht="23" customHeight="1">
      <c r="A91" s="18" t="n"/>
      <c r="B91" s="14" t="n"/>
      <c r="C91" s="14" t="n"/>
      <c r="D91" s="14" t="n"/>
      <c r="E91" s="15" t="n"/>
      <c r="F91" s="16" t="n"/>
      <c r="G91" s="13">
        <f>IF(C91="","",ROUND(E91*F91,2))</f>
        <v/>
      </c>
      <c r="H91" s="13">
        <f>IF(C91="","",IFERROR(VLOOKUP(C91,Inventory!$A$2:$J$501,9,FALSE),0))</f>
        <v/>
      </c>
      <c r="I91" s="13">
        <f>IF(C91="","",ROUND(E91*H91,2))</f>
        <v/>
      </c>
      <c r="J91" s="16" t="n"/>
      <c r="K91" s="16" t="n"/>
      <c r="L91" s="13">
        <f>IF(C91="","",ROUND(G91-I91-J91-K91,2))</f>
        <v/>
      </c>
      <c r="M91" s="15" t="n"/>
      <c r="N91" s="15" t="n"/>
      <c r="O91" s="12">
        <f>IF(C91="","",IFERROR(VLOOKUP(C91,Inventory!$A$2:$B$501,2,FALSE),"Unknown lot"))</f>
        <v/>
      </c>
      <c r="P91" s="12">
        <f>IF(D91="","",IFERROR(VLOOKUP(D91,Clients!$A$2:$B$501,2,FALSE),"Unknown client"))</f>
        <v/>
      </c>
      <c r="Q91" s="12">
        <f>IF(C91="","",IF(COUNTIF(Inventory!$A$2:$A$501,C91)&lt;&gt;1,"Check lot ID",IF(OR(A91="",B91="",E91="",F91=""),"Complete required fields",IF(COUNTIF($B$2:$B$501,B91)&gt;1,"Duplicate sale ID",IF(AND(D91&lt;&gt;"",COUNTIF(Clients!$A$2:$A$501,D91)&lt;&gt;1),"Check client ID",IF(VLOOKUP(C91,Inventory!$A$2:$L$501,12,FALSE)&lt;0,"OVER SOLD","OK"))))))</f>
        <v/>
      </c>
    </row>
    <row r="92" ht="23" customHeight="1">
      <c r="A92" s="17" t="n"/>
      <c r="B92" s="9" t="n"/>
      <c r="C92" s="9" t="n"/>
      <c r="D92" s="9" t="n"/>
      <c r="E92" s="10" t="n"/>
      <c r="F92" s="11" t="n"/>
      <c r="G92" s="13">
        <f>IF(C92="","",ROUND(E92*F92,2))</f>
        <v/>
      </c>
      <c r="H92" s="13">
        <f>IF(C92="","",IFERROR(VLOOKUP(C92,Inventory!$A$2:$J$501,9,FALSE),0))</f>
        <v/>
      </c>
      <c r="I92" s="13">
        <f>IF(C92="","",ROUND(E92*H92,2))</f>
        <v/>
      </c>
      <c r="J92" s="11" t="n"/>
      <c r="K92" s="11" t="n"/>
      <c r="L92" s="13">
        <f>IF(C92="","",ROUND(G92-I92-J92-K92,2))</f>
        <v/>
      </c>
      <c r="M92" s="10" t="n"/>
      <c r="N92" s="10" t="n"/>
      <c r="O92" s="12">
        <f>IF(C92="","",IFERROR(VLOOKUP(C92,Inventory!$A$2:$B$501,2,FALSE),"Unknown lot"))</f>
        <v/>
      </c>
      <c r="P92" s="12">
        <f>IF(D92="","",IFERROR(VLOOKUP(D92,Clients!$A$2:$B$501,2,FALSE),"Unknown client"))</f>
        <v/>
      </c>
      <c r="Q92" s="12">
        <f>IF(C92="","",IF(COUNTIF(Inventory!$A$2:$A$501,C92)&lt;&gt;1,"Check lot ID",IF(OR(A92="",B92="",E92="",F92=""),"Complete required fields",IF(COUNTIF($B$2:$B$501,B92)&gt;1,"Duplicate sale ID",IF(AND(D92&lt;&gt;"",COUNTIF(Clients!$A$2:$A$501,D92)&lt;&gt;1),"Check client ID",IF(VLOOKUP(C92,Inventory!$A$2:$L$501,12,FALSE)&lt;0,"OVER SOLD","OK"))))))</f>
        <v/>
      </c>
    </row>
    <row r="93" ht="23" customHeight="1">
      <c r="A93" s="18" t="n"/>
      <c r="B93" s="14" t="n"/>
      <c r="C93" s="14" t="n"/>
      <c r="D93" s="14" t="n"/>
      <c r="E93" s="15" t="n"/>
      <c r="F93" s="16" t="n"/>
      <c r="G93" s="13">
        <f>IF(C93="","",ROUND(E93*F93,2))</f>
        <v/>
      </c>
      <c r="H93" s="13">
        <f>IF(C93="","",IFERROR(VLOOKUP(C93,Inventory!$A$2:$J$501,9,FALSE),0))</f>
        <v/>
      </c>
      <c r="I93" s="13">
        <f>IF(C93="","",ROUND(E93*H93,2))</f>
        <v/>
      </c>
      <c r="J93" s="16" t="n"/>
      <c r="K93" s="16" t="n"/>
      <c r="L93" s="13">
        <f>IF(C93="","",ROUND(G93-I93-J93-K93,2))</f>
        <v/>
      </c>
      <c r="M93" s="15" t="n"/>
      <c r="N93" s="15" t="n"/>
      <c r="O93" s="12">
        <f>IF(C93="","",IFERROR(VLOOKUP(C93,Inventory!$A$2:$B$501,2,FALSE),"Unknown lot"))</f>
        <v/>
      </c>
      <c r="P93" s="12">
        <f>IF(D93="","",IFERROR(VLOOKUP(D93,Clients!$A$2:$B$501,2,FALSE),"Unknown client"))</f>
        <v/>
      </c>
      <c r="Q93" s="12">
        <f>IF(C93="","",IF(COUNTIF(Inventory!$A$2:$A$501,C93)&lt;&gt;1,"Check lot ID",IF(OR(A93="",B93="",E93="",F93=""),"Complete required fields",IF(COUNTIF($B$2:$B$501,B93)&gt;1,"Duplicate sale ID",IF(AND(D93&lt;&gt;"",COUNTIF(Clients!$A$2:$A$501,D93)&lt;&gt;1),"Check client ID",IF(VLOOKUP(C93,Inventory!$A$2:$L$501,12,FALSE)&lt;0,"OVER SOLD","OK"))))))</f>
        <v/>
      </c>
    </row>
    <row r="94" ht="23" customHeight="1">
      <c r="A94" s="17" t="n"/>
      <c r="B94" s="9" t="n"/>
      <c r="C94" s="9" t="n"/>
      <c r="D94" s="9" t="n"/>
      <c r="E94" s="10" t="n"/>
      <c r="F94" s="11" t="n"/>
      <c r="G94" s="13">
        <f>IF(C94="","",ROUND(E94*F94,2))</f>
        <v/>
      </c>
      <c r="H94" s="13">
        <f>IF(C94="","",IFERROR(VLOOKUP(C94,Inventory!$A$2:$J$501,9,FALSE),0))</f>
        <v/>
      </c>
      <c r="I94" s="13">
        <f>IF(C94="","",ROUND(E94*H94,2))</f>
        <v/>
      </c>
      <c r="J94" s="11" t="n"/>
      <c r="K94" s="11" t="n"/>
      <c r="L94" s="13">
        <f>IF(C94="","",ROUND(G94-I94-J94-K94,2))</f>
        <v/>
      </c>
      <c r="M94" s="10" t="n"/>
      <c r="N94" s="10" t="n"/>
      <c r="O94" s="12">
        <f>IF(C94="","",IFERROR(VLOOKUP(C94,Inventory!$A$2:$B$501,2,FALSE),"Unknown lot"))</f>
        <v/>
      </c>
      <c r="P94" s="12">
        <f>IF(D94="","",IFERROR(VLOOKUP(D94,Clients!$A$2:$B$501,2,FALSE),"Unknown client"))</f>
        <v/>
      </c>
      <c r="Q94" s="12">
        <f>IF(C94="","",IF(COUNTIF(Inventory!$A$2:$A$501,C94)&lt;&gt;1,"Check lot ID",IF(OR(A94="",B94="",E94="",F94=""),"Complete required fields",IF(COUNTIF($B$2:$B$501,B94)&gt;1,"Duplicate sale ID",IF(AND(D94&lt;&gt;"",COUNTIF(Clients!$A$2:$A$501,D94)&lt;&gt;1),"Check client ID",IF(VLOOKUP(C94,Inventory!$A$2:$L$501,12,FALSE)&lt;0,"OVER SOLD","OK"))))))</f>
        <v/>
      </c>
    </row>
    <row r="95" ht="23" customHeight="1">
      <c r="A95" s="18" t="n"/>
      <c r="B95" s="14" t="n"/>
      <c r="C95" s="14" t="n"/>
      <c r="D95" s="14" t="n"/>
      <c r="E95" s="15" t="n"/>
      <c r="F95" s="16" t="n"/>
      <c r="G95" s="13">
        <f>IF(C95="","",ROUND(E95*F95,2))</f>
        <v/>
      </c>
      <c r="H95" s="13">
        <f>IF(C95="","",IFERROR(VLOOKUP(C95,Inventory!$A$2:$J$501,9,FALSE),0))</f>
        <v/>
      </c>
      <c r="I95" s="13">
        <f>IF(C95="","",ROUND(E95*H95,2))</f>
        <v/>
      </c>
      <c r="J95" s="16" t="n"/>
      <c r="K95" s="16" t="n"/>
      <c r="L95" s="13">
        <f>IF(C95="","",ROUND(G95-I95-J95-K95,2))</f>
        <v/>
      </c>
      <c r="M95" s="15" t="n"/>
      <c r="N95" s="15" t="n"/>
      <c r="O95" s="12">
        <f>IF(C95="","",IFERROR(VLOOKUP(C95,Inventory!$A$2:$B$501,2,FALSE),"Unknown lot"))</f>
        <v/>
      </c>
      <c r="P95" s="12">
        <f>IF(D95="","",IFERROR(VLOOKUP(D95,Clients!$A$2:$B$501,2,FALSE),"Unknown client"))</f>
        <v/>
      </c>
      <c r="Q95" s="12">
        <f>IF(C95="","",IF(COUNTIF(Inventory!$A$2:$A$501,C95)&lt;&gt;1,"Check lot ID",IF(OR(A95="",B95="",E95="",F95=""),"Complete required fields",IF(COUNTIF($B$2:$B$501,B95)&gt;1,"Duplicate sale ID",IF(AND(D95&lt;&gt;"",COUNTIF(Clients!$A$2:$A$501,D95)&lt;&gt;1),"Check client ID",IF(VLOOKUP(C95,Inventory!$A$2:$L$501,12,FALSE)&lt;0,"OVER SOLD","OK"))))))</f>
        <v/>
      </c>
    </row>
    <row r="96" ht="23" customHeight="1">
      <c r="A96" s="17" t="n"/>
      <c r="B96" s="9" t="n"/>
      <c r="C96" s="9" t="n"/>
      <c r="D96" s="9" t="n"/>
      <c r="E96" s="10" t="n"/>
      <c r="F96" s="11" t="n"/>
      <c r="G96" s="13">
        <f>IF(C96="","",ROUND(E96*F96,2))</f>
        <v/>
      </c>
      <c r="H96" s="13">
        <f>IF(C96="","",IFERROR(VLOOKUP(C96,Inventory!$A$2:$J$501,9,FALSE),0))</f>
        <v/>
      </c>
      <c r="I96" s="13">
        <f>IF(C96="","",ROUND(E96*H96,2))</f>
        <v/>
      </c>
      <c r="J96" s="11" t="n"/>
      <c r="K96" s="11" t="n"/>
      <c r="L96" s="13">
        <f>IF(C96="","",ROUND(G96-I96-J96-K96,2))</f>
        <v/>
      </c>
      <c r="M96" s="10" t="n"/>
      <c r="N96" s="10" t="n"/>
      <c r="O96" s="12">
        <f>IF(C96="","",IFERROR(VLOOKUP(C96,Inventory!$A$2:$B$501,2,FALSE),"Unknown lot"))</f>
        <v/>
      </c>
      <c r="P96" s="12">
        <f>IF(D96="","",IFERROR(VLOOKUP(D96,Clients!$A$2:$B$501,2,FALSE),"Unknown client"))</f>
        <v/>
      </c>
      <c r="Q96" s="12">
        <f>IF(C96="","",IF(COUNTIF(Inventory!$A$2:$A$501,C96)&lt;&gt;1,"Check lot ID",IF(OR(A96="",B96="",E96="",F96=""),"Complete required fields",IF(COUNTIF($B$2:$B$501,B96)&gt;1,"Duplicate sale ID",IF(AND(D96&lt;&gt;"",COUNTIF(Clients!$A$2:$A$501,D96)&lt;&gt;1),"Check client ID",IF(VLOOKUP(C96,Inventory!$A$2:$L$501,12,FALSE)&lt;0,"OVER SOLD","OK"))))))</f>
        <v/>
      </c>
    </row>
    <row r="97" ht="23" customHeight="1">
      <c r="A97" s="18" t="n"/>
      <c r="B97" s="14" t="n"/>
      <c r="C97" s="14" t="n"/>
      <c r="D97" s="14" t="n"/>
      <c r="E97" s="15" t="n"/>
      <c r="F97" s="16" t="n"/>
      <c r="G97" s="13">
        <f>IF(C97="","",ROUND(E97*F97,2))</f>
        <v/>
      </c>
      <c r="H97" s="13">
        <f>IF(C97="","",IFERROR(VLOOKUP(C97,Inventory!$A$2:$J$501,9,FALSE),0))</f>
        <v/>
      </c>
      <c r="I97" s="13">
        <f>IF(C97="","",ROUND(E97*H97,2))</f>
        <v/>
      </c>
      <c r="J97" s="16" t="n"/>
      <c r="K97" s="16" t="n"/>
      <c r="L97" s="13">
        <f>IF(C97="","",ROUND(G97-I97-J97-K97,2))</f>
        <v/>
      </c>
      <c r="M97" s="15" t="n"/>
      <c r="N97" s="15" t="n"/>
      <c r="O97" s="12">
        <f>IF(C97="","",IFERROR(VLOOKUP(C97,Inventory!$A$2:$B$501,2,FALSE),"Unknown lot"))</f>
        <v/>
      </c>
      <c r="P97" s="12">
        <f>IF(D97="","",IFERROR(VLOOKUP(D97,Clients!$A$2:$B$501,2,FALSE),"Unknown client"))</f>
        <v/>
      </c>
      <c r="Q97" s="12">
        <f>IF(C97="","",IF(COUNTIF(Inventory!$A$2:$A$501,C97)&lt;&gt;1,"Check lot ID",IF(OR(A97="",B97="",E97="",F97=""),"Complete required fields",IF(COUNTIF($B$2:$B$501,B97)&gt;1,"Duplicate sale ID",IF(AND(D97&lt;&gt;"",COUNTIF(Clients!$A$2:$A$501,D97)&lt;&gt;1),"Check client ID",IF(VLOOKUP(C97,Inventory!$A$2:$L$501,12,FALSE)&lt;0,"OVER SOLD","OK"))))))</f>
        <v/>
      </c>
    </row>
    <row r="98" ht="23" customHeight="1">
      <c r="A98" s="17" t="n"/>
      <c r="B98" s="9" t="n"/>
      <c r="C98" s="9" t="n"/>
      <c r="D98" s="9" t="n"/>
      <c r="E98" s="10" t="n"/>
      <c r="F98" s="11" t="n"/>
      <c r="G98" s="13">
        <f>IF(C98="","",ROUND(E98*F98,2))</f>
        <v/>
      </c>
      <c r="H98" s="13">
        <f>IF(C98="","",IFERROR(VLOOKUP(C98,Inventory!$A$2:$J$501,9,FALSE),0))</f>
        <v/>
      </c>
      <c r="I98" s="13">
        <f>IF(C98="","",ROUND(E98*H98,2))</f>
        <v/>
      </c>
      <c r="J98" s="11" t="n"/>
      <c r="K98" s="11" t="n"/>
      <c r="L98" s="13">
        <f>IF(C98="","",ROUND(G98-I98-J98-K98,2))</f>
        <v/>
      </c>
      <c r="M98" s="10" t="n"/>
      <c r="N98" s="10" t="n"/>
      <c r="O98" s="12">
        <f>IF(C98="","",IFERROR(VLOOKUP(C98,Inventory!$A$2:$B$501,2,FALSE),"Unknown lot"))</f>
        <v/>
      </c>
      <c r="P98" s="12">
        <f>IF(D98="","",IFERROR(VLOOKUP(D98,Clients!$A$2:$B$501,2,FALSE),"Unknown client"))</f>
        <v/>
      </c>
      <c r="Q98" s="12">
        <f>IF(C98="","",IF(COUNTIF(Inventory!$A$2:$A$501,C98)&lt;&gt;1,"Check lot ID",IF(OR(A98="",B98="",E98="",F98=""),"Complete required fields",IF(COUNTIF($B$2:$B$501,B98)&gt;1,"Duplicate sale ID",IF(AND(D98&lt;&gt;"",COUNTIF(Clients!$A$2:$A$501,D98)&lt;&gt;1),"Check client ID",IF(VLOOKUP(C98,Inventory!$A$2:$L$501,12,FALSE)&lt;0,"OVER SOLD","OK"))))))</f>
        <v/>
      </c>
    </row>
    <row r="99" ht="23" customHeight="1">
      <c r="A99" s="18" t="n"/>
      <c r="B99" s="14" t="n"/>
      <c r="C99" s="14" t="n"/>
      <c r="D99" s="14" t="n"/>
      <c r="E99" s="15" t="n"/>
      <c r="F99" s="16" t="n"/>
      <c r="G99" s="13">
        <f>IF(C99="","",ROUND(E99*F99,2))</f>
        <v/>
      </c>
      <c r="H99" s="13">
        <f>IF(C99="","",IFERROR(VLOOKUP(C99,Inventory!$A$2:$J$501,9,FALSE),0))</f>
        <v/>
      </c>
      <c r="I99" s="13">
        <f>IF(C99="","",ROUND(E99*H99,2))</f>
        <v/>
      </c>
      <c r="J99" s="16" t="n"/>
      <c r="K99" s="16" t="n"/>
      <c r="L99" s="13">
        <f>IF(C99="","",ROUND(G99-I99-J99-K99,2))</f>
        <v/>
      </c>
      <c r="M99" s="15" t="n"/>
      <c r="N99" s="15" t="n"/>
      <c r="O99" s="12">
        <f>IF(C99="","",IFERROR(VLOOKUP(C99,Inventory!$A$2:$B$501,2,FALSE),"Unknown lot"))</f>
        <v/>
      </c>
      <c r="P99" s="12">
        <f>IF(D99="","",IFERROR(VLOOKUP(D99,Clients!$A$2:$B$501,2,FALSE),"Unknown client"))</f>
        <v/>
      </c>
      <c r="Q99" s="12">
        <f>IF(C99="","",IF(COUNTIF(Inventory!$A$2:$A$501,C99)&lt;&gt;1,"Check lot ID",IF(OR(A99="",B99="",E99="",F99=""),"Complete required fields",IF(COUNTIF($B$2:$B$501,B99)&gt;1,"Duplicate sale ID",IF(AND(D99&lt;&gt;"",COUNTIF(Clients!$A$2:$A$501,D99)&lt;&gt;1),"Check client ID",IF(VLOOKUP(C99,Inventory!$A$2:$L$501,12,FALSE)&lt;0,"OVER SOLD","OK"))))))</f>
        <v/>
      </c>
    </row>
    <row r="100" ht="23" customHeight="1">
      <c r="A100" s="17" t="n"/>
      <c r="B100" s="9" t="n"/>
      <c r="C100" s="9" t="n"/>
      <c r="D100" s="9" t="n"/>
      <c r="E100" s="10" t="n"/>
      <c r="F100" s="11" t="n"/>
      <c r="G100" s="13">
        <f>IF(C100="","",ROUND(E100*F100,2))</f>
        <v/>
      </c>
      <c r="H100" s="13">
        <f>IF(C100="","",IFERROR(VLOOKUP(C100,Inventory!$A$2:$J$501,9,FALSE),0))</f>
        <v/>
      </c>
      <c r="I100" s="13">
        <f>IF(C100="","",ROUND(E100*H100,2))</f>
        <v/>
      </c>
      <c r="J100" s="11" t="n"/>
      <c r="K100" s="11" t="n"/>
      <c r="L100" s="13">
        <f>IF(C100="","",ROUND(G100-I100-J100-K100,2))</f>
        <v/>
      </c>
      <c r="M100" s="10" t="n"/>
      <c r="N100" s="10" t="n"/>
      <c r="O100" s="12">
        <f>IF(C100="","",IFERROR(VLOOKUP(C100,Inventory!$A$2:$B$501,2,FALSE),"Unknown lot"))</f>
        <v/>
      </c>
      <c r="P100" s="12">
        <f>IF(D100="","",IFERROR(VLOOKUP(D100,Clients!$A$2:$B$501,2,FALSE),"Unknown client"))</f>
        <v/>
      </c>
      <c r="Q100" s="12">
        <f>IF(C100="","",IF(COUNTIF(Inventory!$A$2:$A$501,C100)&lt;&gt;1,"Check lot ID",IF(OR(A100="",B100="",E100="",F100=""),"Complete required fields",IF(COUNTIF($B$2:$B$501,B100)&gt;1,"Duplicate sale ID",IF(AND(D100&lt;&gt;"",COUNTIF(Clients!$A$2:$A$501,D100)&lt;&gt;1),"Check client ID",IF(VLOOKUP(C100,Inventory!$A$2:$L$501,12,FALSE)&lt;0,"OVER SOLD","OK"))))))</f>
        <v/>
      </c>
    </row>
    <row r="101" ht="23" customHeight="1">
      <c r="A101" s="18" t="n"/>
      <c r="B101" s="14" t="n"/>
      <c r="C101" s="14" t="n"/>
      <c r="D101" s="14" t="n"/>
      <c r="E101" s="15" t="n"/>
      <c r="F101" s="16" t="n"/>
      <c r="G101" s="13">
        <f>IF(C101="","",ROUND(E101*F101,2))</f>
        <v/>
      </c>
      <c r="H101" s="13">
        <f>IF(C101="","",IFERROR(VLOOKUP(C101,Inventory!$A$2:$J$501,9,FALSE),0))</f>
        <v/>
      </c>
      <c r="I101" s="13">
        <f>IF(C101="","",ROUND(E101*H101,2))</f>
        <v/>
      </c>
      <c r="J101" s="16" t="n"/>
      <c r="K101" s="16" t="n"/>
      <c r="L101" s="13">
        <f>IF(C101="","",ROUND(G101-I101-J101-K101,2))</f>
        <v/>
      </c>
      <c r="M101" s="15" t="n"/>
      <c r="N101" s="15" t="n"/>
      <c r="O101" s="12">
        <f>IF(C101="","",IFERROR(VLOOKUP(C101,Inventory!$A$2:$B$501,2,FALSE),"Unknown lot"))</f>
        <v/>
      </c>
      <c r="P101" s="12">
        <f>IF(D101="","",IFERROR(VLOOKUP(D101,Clients!$A$2:$B$501,2,FALSE),"Unknown client"))</f>
        <v/>
      </c>
      <c r="Q101" s="12">
        <f>IF(C101="","",IF(COUNTIF(Inventory!$A$2:$A$501,C101)&lt;&gt;1,"Check lot ID",IF(OR(A101="",B101="",E101="",F101=""),"Complete required fields",IF(COUNTIF($B$2:$B$501,B101)&gt;1,"Duplicate sale ID",IF(AND(D101&lt;&gt;"",COUNTIF(Clients!$A$2:$A$501,D101)&lt;&gt;1),"Check client ID",IF(VLOOKUP(C101,Inventory!$A$2:$L$501,12,FALSE)&lt;0,"OVER SOLD","OK"))))))</f>
        <v/>
      </c>
    </row>
    <row r="102" ht="23" customHeight="1">
      <c r="A102" s="17" t="n"/>
      <c r="B102" s="9" t="n"/>
      <c r="C102" s="9" t="n"/>
      <c r="D102" s="9" t="n"/>
      <c r="E102" s="10" t="n"/>
      <c r="F102" s="11" t="n"/>
      <c r="G102" s="13">
        <f>IF(C102="","",ROUND(E102*F102,2))</f>
        <v/>
      </c>
      <c r="H102" s="13">
        <f>IF(C102="","",IFERROR(VLOOKUP(C102,Inventory!$A$2:$J$501,9,FALSE),0))</f>
        <v/>
      </c>
      <c r="I102" s="13">
        <f>IF(C102="","",ROUND(E102*H102,2))</f>
        <v/>
      </c>
      <c r="J102" s="11" t="n"/>
      <c r="K102" s="11" t="n"/>
      <c r="L102" s="13">
        <f>IF(C102="","",ROUND(G102-I102-J102-K102,2))</f>
        <v/>
      </c>
      <c r="M102" s="10" t="n"/>
      <c r="N102" s="10" t="n"/>
      <c r="O102" s="12">
        <f>IF(C102="","",IFERROR(VLOOKUP(C102,Inventory!$A$2:$B$501,2,FALSE),"Unknown lot"))</f>
        <v/>
      </c>
      <c r="P102" s="12">
        <f>IF(D102="","",IFERROR(VLOOKUP(D102,Clients!$A$2:$B$501,2,FALSE),"Unknown client"))</f>
        <v/>
      </c>
      <c r="Q102" s="12">
        <f>IF(C102="","",IF(COUNTIF(Inventory!$A$2:$A$501,C102)&lt;&gt;1,"Check lot ID",IF(OR(A102="",B102="",E102="",F102=""),"Complete required fields",IF(COUNTIF($B$2:$B$501,B102)&gt;1,"Duplicate sale ID",IF(AND(D102&lt;&gt;"",COUNTIF(Clients!$A$2:$A$501,D102)&lt;&gt;1),"Check client ID",IF(VLOOKUP(C102,Inventory!$A$2:$L$501,12,FALSE)&lt;0,"OVER SOLD","OK"))))))</f>
        <v/>
      </c>
    </row>
    <row r="103" ht="23" customHeight="1">
      <c r="A103" s="18" t="n"/>
      <c r="B103" s="14" t="n"/>
      <c r="C103" s="14" t="n"/>
      <c r="D103" s="14" t="n"/>
      <c r="E103" s="15" t="n"/>
      <c r="F103" s="16" t="n"/>
      <c r="G103" s="13">
        <f>IF(C103="","",ROUND(E103*F103,2))</f>
        <v/>
      </c>
      <c r="H103" s="13">
        <f>IF(C103="","",IFERROR(VLOOKUP(C103,Inventory!$A$2:$J$501,9,FALSE),0))</f>
        <v/>
      </c>
      <c r="I103" s="13">
        <f>IF(C103="","",ROUND(E103*H103,2))</f>
        <v/>
      </c>
      <c r="J103" s="16" t="n"/>
      <c r="K103" s="16" t="n"/>
      <c r="L103" s="13">
        <f>IF(C103="","",ROUND(G103-I103-J103-K103,2))</f>
        <v/>
      </c>
      <c r="M103" s="15" t="n"/>
      <c r="N103" s="15" t="n"/>
      <c r="O103" s="12">
        <f>IF(C103="","",IFERROR(VLOOKUP(C103,Inventory!$A$2:$B$501,2,FALSE),"Unknown lot"))</f>
        <v/>
      </c>
      <c r="P103" s="12">
        <f>IF(D103="","",IFERROR(VLOOKUP(D103,Clients!$A$2:$B$501,2,FALSE),"Unknown client"))</f>
        <v/>
      </c>
      <c r="Q103" s="12">
        <f>IF(C103="","",IF(COUNTIF(Inventory!$A$2:$A$501,C103)&lt;&gt;1,"Check lot ID",IF(OR(A103="",B103="",E103="",F103=""),"Complete required fields",IF(COUNTIF($B$2:$B$501,B103)&gt;1,"Duplicate sale ID",IF(AND(D103&lt;&gt;"",COUNTIF(Clients!$A$2:$A$501,D103)&lt;&gt;1),"Check client ID",IF(VLOOKUP(C103,Inventory!$A$2:$L$501,12,FALSE)&lt;0,"OVER SOLD","OK"))))))</f>
        <v/>
      </c>
    </row>
    <row r="104" ht="23" customHeight="1">
      <c r="A104" s="17" t="n"/>
      <c r="B104" s="9" t="n"/>
      <c r="C104" s="9" t="n"/>
      <c r="D104" s="9" t="n"/>
      <c r="E104" s="10" t="n"/>
      <c r="F104" s="11" t="n"/>
      <c r="G104" s="13">
        <f>IF(C104="","",ROUND(E104*F104,2))</f>
        <v/>
      </c>
      <c r="H104" s="13">
        <f>IF(C104="","",IFERROR(VLOOKUP(C104,Inventory!$A$2:$J$501,9,FALSE),0))</f>
        <v/>
      </c>
      <c r="I104" s="13">
        <f>IF(C104="","",ROUND(E104*H104,2))</f>
        <v/>
      </c>
      <c r="J104" s="11" t="n"/>
      <c r="K104" s="11" t="n"/>
      <c r="L104" s="13">
        <f>IF(C104="","",ROUND(G104-I104-J104-K104,2))</f>
        <v/>
      </c>
      <c r="M104" s="10" t="n"/>
      <c r="N104" s="10" t="n"/>
      <c r="O104" s="12">
        <f>IF(C104="","",IFERROR(VLOOKUP(C104,Inventory!$A$2:$B$501,2,FALSE),"Unknown lot"))</f>
        <v/>
      </c>
      <c r="P104" s="12">
        <f>IF(D104="","",IFERROR(VLOOKUP(D104,Clients!$A$2:$B$501,2,FALSE),"Unknown client"))</f>
        <v/>
      </c>
      <c r="Q104" s="12">
        <f>IF(C104="","",IF(COUNTIF(Inventory!$A$2:$A$501,C104)&lt;&gt;1,"Check lot ID",IF(OR(A104="",B104="",E104="",F104=""),"Complete required fields",IF(COUNTIF($B$2:$B$501,B104)&gt;1,"Duplicate sale ID",IF(AND(D104&lt;&gt;"",COUNTIF(Clients!$A$2:$A$501,D104)&lt;&gt;1),"Check client ID",IF(VLOOKUP(C104,Inventory!$A$2:$L$501,12,FALSE)&lt;0,"OVER SOLD","OK"))))))</f>
        <v/>
      </c>
    </row>
    <row r="105" ht="23" customHeight="1">
      <c r="A105" s="18" t="n"/>
      <c r="B105" s="14" t="n"/>
      <c r="C105" s="14" t="n"/>
      <c r="D105" s="14" t="n"/>
      <c r="E105" s="15" t="n"/>
      <c r="F105" s="16" t="n"/>
      <c r="G105" s="13">
        <f>IF(C105="","",ROUND(E105*F105,2))</f>
        <v/>
      </c>
      <c r="H105" s="13">
        <f>IF(C105="","",IFERROR(VLOOKUP(C105,Inventory!$A$2:$J$501,9,FALSE),0))</f>
        <v/>
      </c>
      <c r="I105" s="13">
        <f>IF(C105="","",ROUND(E105*H105,2))</f>
        <v/>
      </c>
      <c r="J105" s="16" t="n"/>
      <c r="K105" s="16" t="n"/>
      <c r="L105" s="13">
        <f>IF(C105="","",ROUND(G105-I105-J105-K105,2))</f>
        <v/>
      </c>
      <c r="M105" s="15" t="n"/>
      <c r="N105" s="15" t="n"/>
      <c r="O105" s="12">
        <f>IF(C105="","",IFERROR(VLOOKUP(C105,Inventory!$A$2:$B$501,2,FALSE),"Unknown lot"))</f>
        <v/>
      </c>
      <c r="P105" s="12">
        <f>IF(D105="","",IFERROR(VLOOKUP(D105,Clients!$A$2:$B$501,2,FALSE),"Unknown client"))</f>
        <v/>
      </c>
      <c r="Q105" s="12">
        <f>IF(C105="","",IF(COUNTIF(Inventory!$A$2:$A$501,C105)&lt;&gt;1,"Check lot ID",IF(OR(A105="",B105="",E105="",F105=""),"Complete required fields",IF(COUNTIF($B$2:$B$501,B105)&gt;1,"Duplicate sale ID",IF(AND(D105&lt;&gt;"",COUNTIF(Clients!$A$2:$A$501,D105)&lt;&gt;1),"Check client ID",IF(VLOOKUP(C105,Inventory!$A$2:$L$501,12,FALSE)&lt;0,"OVER SOLD","OK"))))))</f>
        <v/>
      </c>
    </row>
    <row r="106" ht="23" customHeight="1">
      <c r="A106" s="17" t="n"/>
      <c r="B106" s="9" t="n"/>
      <c r="C106" s="9" t="n"/>
      <c r="D106" s="9" t="n"/>
      <c r="E106" s="10" t="n"/>
      <c r="F106" s="11" t="n"/>
      <c r="G106" s="13">
        <f>IF(C106="","",ROUND(E106*F106,2))</f>
        <v/>
      </c>
      <c r="H106" s="13">
        <f>IF(C106="","",IFERROR(VLOOKUP(C106,Inventory!$A$2:$J$501,9,FALSE),0))</f>
        <v/>
      </c>
      <c r="I106" s="13">
        <f>IF(C106="","",ROUND(E106*H106,2))</f>
        <v/>
      </c>
      <c r="J106" s="11" t="n"/>
      <c r="K106" s="11" t="n"/>
      <c r="L106" s="13">
        <f>IF(C106="","",ROUND(G106-I106-J106-K106,2))</f>
        <v/>
      </c>
      <c r="M106" s="10" t="n"/>
      <c r="N106" s="10" t="n"/>
      <c r="O106" s="12">
        <f>IF(C106="","",IFERROR(VLOOKUP(C106,Inventory!$A$2:$B$501,2,FALSE),"Unknown lot"))</f>
        <v/>
      </c>
      <c r="P106" s="12">
        <f>IF(D106="","",IFERROR(VLOOKUP(D106,Clients!$A$2:$B$501,2,FALSE),"Unknown client"))</f>
        <v/>
      </c>
      <c r="Q106" s="12">
        <f>IF(C106="","",IF(COUNTIF(Inventory!$A$2:$A$501,C106)&lt;&gt;1,"Check lot ID",IF(OR(A106="",B106="",E106="",F106=""),"Complete required fields",IF(COUNTIF($B$2:$B$501,B106)&gt;1,"Duplicate sale ID",IF(AND(D106&lt;&gt;"",COUNTIF(Clients!$A$2:$A$501,D106)&lt;&gt;1),"Check client ID",IF(VLOOKUP(C106,Inventory!$A$2:$L$501,12,FALSE)&lt;0,"OVER SOLD","OK"))))))</f>
        <v/>
      </c>
    </row>
    <row r="107" ht="23" customHeight="1">
      <c r="A107" s="18" t="n"/>
      <c r="B107" s="14" t="n"/>
      <c r="C107" s="14" t="n"/>
      <c r="D107" s="14" t="n"/>
      <c r="E107" s="15" t="n"/>
      <c r="F107" s="16" t="n"/>
      <c r="G107" s="13">
        <f>IF(C107="","",ROUND(E107*F107,2))</f>
        <v/>
      </c>
      <c r="H107" s="13">
        <f>IF(C107="","",IFERROR(VLOOKUP(C107,Inventory!$A$2:$J$501,9,FALSE),0))</f>
        <v/>
      </c>
      <c r="I107" s="13">
        <f>IF(C107="","",ROUND(E107*H107,2))</f>
        <v/>
      </c>
      <c r="J107" s="16" t="n"/>
      <c r="K107" s="16" t="n"/>
      <c r="L107" s="13">
        <f>IF(C107="","",ROUND(G107-I107-J107-K107,2))</f>
        <v/>
      </c>
      <c r="M107" s="15" t="n"/>
      <c r="N107" s="15" t="n"/>
      <c r="O107" s="12">
        <f>IF(C107="","",IFERROR(VLOOKUP(C107,Inventory!$A$2:$B$501,2,FALSE),"Unknown lot"))</f>
        <v/>
      </c>
      <c r="P107" s="12">
        <f>IF(D107="","",IFERROR(VLOOKUP(D107,Clients!$A$2:$B$501,2,FALSE),"Unknown client"))</f>
        <v/>
      </c>
      <c r="Q107" s="12">
        <f>IF(C107="","",IF(COUNTIF(Inventory!$A$2:$A$501,C107)&lt;&gt;1,"Check lot ID",IF(OR(A107="",B107="",E107="",F107=""),"Complete required fields",IF(COUNTIF($B$2:$B$501,B107)&gt;1,"Duplicate sale ID",IF(AND(D107&lt;&gt;"",COUNTIF(Clients!$A$2:$A$501,D107)&lt;&gt;1),"Check client ID",IF(VLOOKUP(C107,Inventory!$A$2:$L$501,12,FALSE)&lt;0,"OVER SOLD","OK"))))))</f>
        <v/>
      </c>
    </row>
    <row r="108" ht="23" customHeight="1">
      <c r="A108" s="17" t="n"/>
      <c r="B108" s="9" t="n"/>
      <c r="C108" s="9" t="n"/>
      <c r="D108" s="9" t="n"/>
      <c r="E108" s="10" t="n"/>
      <c r="F108" s="11" t="n"/>
      <c r="G108" s="13">
        <f>IF(C108="","",ROUND(E108*F108,2))</f>
        <v/>
      </c>
      <c r="H108" s="13">
        <f>IF(C108="","",IFERROR(VLOOKUP(C108,Inventory!$A$2:$J$501,9,FALSE),0))</f>
        <v/>
      </c>
      <c r="I108" s="13">
        <f>IF(C108="","",ROUND(E108*H108,2))</f>
        <v/>
      </c>
      <c r="J108" s="11" t="n"/>
      <c r="K108" s="11" t="n"/>
      <c r="L108" s="13">
        <f>IF(C108="","",ROUND(G108-I108-J108-K108,2))</f>
        <v/>
      </c>
      <c r="M108" s="10" t="n"/>
      <c r="N108" s="10" t="n"/>
      <c r="O108" s="12">
        <f>IF(C108="","",IFERROR(VLOOKUP(C108,Inventory!$A$2:$B$501,2,FALSE),"Unknown lot"))</f>
        <v/>
      </c>
      <c r="P108" s="12">
        <f>IF(D108="","",IFERROR(VLOOKUP(D108,Clients!$A$2:$B$501,2,FALSE),"Unknown client"))</f>
        <v/>
      </c>
      <c r="Q108" s="12">
        <f>IF(C108="","",IF(COUNTIF(Inventory!$A$2:$A$501,C108)&lt;&gt;1,"Check lot ID",IF(OR(A108="",B108="",E108="",F108=""),"Complete required fields",IF(COUNTIF($B$2:$B$501,B108)&gt;1,"Duplicate sale ID",IF(AND(D108&lt;&gt;"",COUNTIF(Clients!$A$2:$A$501,D108)&lt;&gt;1),"Check client ID",IF(VLOOKUP(C108,Inventory!$A$2:$L$501,12,FALSE)&lt;0,"OVER SOLD","OK"))))))</f>
        <v/>
      </c>
    </row>
    <row r="109" ht="23" customHeight="1">
      <c r="A109" s="18" t="n"/>
      <c r="B109" s="14" t="n"/>
      <c r="C109" s="14" t="n"/>
      <c r="D109" s="14" t="n"/>
      <c r="E109" s="15" t="n"/>
      <c r="F109" s="16" t="n"/>
      <c r="G109" s="13">
        <f>IF(C109="","",ROUND(E109*F109,2))</f>
        <v/>
      </c>
      <c r="H109" s="13">
        <f>IF(C109="","",IFERROR(VLOOKUP(C109,Inventory!$A$2:$J$501,9,FALSE),0))</f>
        <v/>
      </c>
      <c r="I109" s="13">
        <f>IF(C109="","",ROUND(E109*H109,2))</f>
        <v/>
      </c>
      <c r="J109" s="16" t="n"/>
      <c r="K109" s="16" t="n"/>
      <c r="L109" s="13">
        <f>IF(C109="","",ROUND(G109-I109-J109-K109,2))</f>
        <v/>
      </c>
      <c r="M109" s="15" t="n"/>
      <c r="N109" s="15" t="n"/>
      <c r="O109" s="12">
        <f>IF(C109="","",IFERROR(VLOOKUP(C109,Inventory!$A$2:$B$501,2,FALSE),"Unknown lot"))</f>
        <v/>
      </c>
      <c r="P109" s="12">
        <f>IF(D109="","",IFERROR(VLOOKUP(D109,Clients!$A$2:$B$501,2,FALSE),"Unknown client"))</f>
        <v/>
      </c>
      <c r="Q109" s="12">
        <f>IF(C109="","",IF(COUNTIF(Inventory!$A$2:$A$501,C109)&lt;&gt;1,"Check lot ID",IF(OR(A109="",B109="",E109="",F109=""),"Complete required fields",IF(COUNTIF($B$2:$B$501,B109)&gt;1,"Duplicate sale ID",IF(AND(D109&lt;&gt;"",COUNTIF(Clients!$A$2:$A$501,D109)&lt;&gt;1),"Check client ID",IF(VLOOKUP(C109,Inventory!$A$2:$L$501,12,FALSE)&lt;0,"OVER SOLD","OK"))))))</f>
        <v/>
      </c>
    </row>
    <row r="110" ht="23" customHeight="1">
      <c r="A110" s="17" t="n"/>
      <c r="B110" s="9" t="n"/>
      <c r="C110" s="9" t="n"/>
      <c r="D110" s="9" t="n"/>
      <c r="E110" s="10" t="n"/>
      <c r="F110" s="11" t="n"/>
      <c r="G110" s="13">
        <f>IF(C110="","",ROUND(E110*F110,2))</f>
        <v/>
      </c>
      <c r="H110" s="13">
        <f>IF(C110="","",IFERROR(VLOOKUP(C110,Inventory!$A$2:$J$501,9,FALSE),0))</f>
        <v/>
      </c>
      <c r="I110" s="13">
        <f>IF(C110="","",ROUND(E110*H110,2))</f>
        <v/>
      </c>
      <c r="J110" s="11" t="n"/>
      <c r="K110" s="11" t="n"/>
      <c r="L110" s="13">
        <f>IF(C110="","",ROUND(G110-I110-J110-K110,2))</f>
        <v/>
      </c>
      <c r="M110" s="10" t="n"/>
      <c r="N110" s="10" t="n"/>
      <c r="O110" s="12">
        <f>IF(C110="","",IFERROR(VLOOKUP(C110,Inventory!$A$2:$B$501,2,FALSE),"Unknown lot"))</f>
        <v/>
      </c>
      <c r="P110" s="12">
        <f>IF(D110="","",IFERROR(VLOOKUP(D110,Clients!$A$2:$B$501,2,FALSE),"Unknown client"))</f>
        <v/>
      </c>
      <c r="Q110" s="12">
        <f>IF(C110="","",IF(COUNTIF(Inventory!$A$2:$A$501,C110)&lt;&gt;1,"Check lot ID",IF(OR(A110="",B110="",E110="",F110=""),"Complete required fields",IF(COUNTIF($B$2:$B$501,B110)&gt;1,"Duplicate sale ID",IF(AND(D110&lt;&gt;"",COUNTIF(Clients!$A$2:$A$501,D110)&lt;&gt;1),"Check client ID",IF(VLOOKUP(C110,Inventory!$A$2:$L$501,12,FALSE)&lt;0,"OVER SOLD","OK"))))))</f>
        <v/>
      </c>
    </row>
    <row r="111" ht="23" customHeight="1">
      <c r="A111" s="18" t="n"/>
      <c r="B111" s="14" t="n"/>
      <c r="C111" s="14" t="n"/>
      <c r="D111" s="14" t="n"/>
      <c r="E111" s="15" t="n"/>
      <c r="F111" s="16" t="n"/>
      <c r="G111" s="13">
        <f>IF(C111="","",ROUND(E111*F111,2))</f>
        <v/>
      </c>
      <c r="H111" s="13">
        <f>IF(C111="","",IFERROR(VLOOKUP(C111,Inventory!$A$2:$J$501,9,FALSE),0))</f>
        <v/>
      </c>
      <c r="I111" s="13">
        <f>IF(C111="","",ROUND(E111*H111,2))</f>
        <v/>
      </c>
      <c r="J111" s="16" t="n"/>
      <c r="K111" s="16" t="n"/>
      <c r="L111" s="13">
        <f>IF(C111="","",ROUND(G111-I111-J111-K111,2))</f>
        <v/>
      </c>
      <c r="M111" s="15" t="n"/>
      <c r="N111" s="15" t="n"/>
      <c r="O111" s="12">
        <f>IF(C111="","",IFERROR(VLOOKUP(C111,Inventory!$A$2:$B$501,2,FALSE),"Unknown lot"))</f>
        <v/>
      </c>
      <c r="P111" s="12">
        <f>IF(D111="","",IFERROR(VLOOKUP(D111,Clients!$A$2:$B$501,2,FALSE),"Unknown client"))</f>
        <v/>
      </c>
      <c r="Q111" s="12">
        <f>IF(C111="","",IF(COUNTIF(Inventory!$A$2:$A$501,C111)&lt;&gt;1,"Check lot ID",IF(OR(A111="",B111="",E111="",F111=""),"Complete required fields",IF(COUNTIF($B$2:$B$501,B111)&gt;1,"Duplicate sale ID",IF(AND(D111&lt;&gt;"",COUNTIF(Clients!$A$2:$A$501,D111)&lt;&gt;1),"Check client ID",IF(VLOOKUP(C111,Inventory!$A$2:$L$501,12,FALSE)&lt;0,"OVER SOLD","OK"))))))</f>
        <v/>
      </c>
    </row>
    <row r="112" ht="23" customHeight="1">
      <c r="A112" s="17" t="n"/>
      <c r="B112" s="9" t="n"/>
      <c r="C112" s="9" t="n"/>
      <c r="D112" s="9" t="n"/>
      <c r="E112" s="10" t="n"/>
      <c r="F112" s="11" t="n"/>
      <c r="G112" s="13">
        <f>IF(C112="","",ROUND(E112*F112,2))</f>
        <v/>
      </c>
      <c r="H112" s="13">
        <f>IF(C112="","",IFERROR(VLOOKUP(C112,Inventory!$A$2:$J$501,9,FALSE),0))</f>
        <v/>
      </c>
      <c r="I112" s="13">
        <f>IF(C112="","",ROUND(E112*H112,2))</f>
        <v/>
      </c>
      <c r="J112" s="11" t="n"/>
      <c r="K112" s="11" t="n"/>
      <c r="L112" s="13">
        <f>IF(C112="","",ROUND(G112-I112-J112-K112,2))</f>
        <v/>
      </c>
      <c r="M112" s="10" t="n"/>
      <c r="N112" s="10" t="n"/>
      <c r="O112" s="12">
        <f>IF(C112="","",IFERROR(VLOOKUP(C112,Inventory!$A$2:$B$501,2,FALSE),"Unknown lot"))</f>
        <v/>
      </c>
      <c r="P112" s="12">
        <f>IF(D112="","",IFERROR(VLOOKUP(D112,Clients!$A$2:$B$501,2,FALSE),"Unknown client"))</f>
        <v/>
      </c>
      <c r="Q112" s="12">
        <f>IF(C112="","",IF(COUNTIF(Inventory!$A$2:$A$501,C112)&lt;&gt;1,"Check lot ID",IF(OR(A112="",B112="",E112="",F112=""),"Complete required fields",IF(COUNTIF($B$2:$B$501,B112)&gt;1,"Duplicate sale ID",IF(AND(D112&lt;&gt;"",COUNTIF(Clients!$A$2:$A$501,D112)&lt;&gt;1),"Check client ID",IF(VLOOKUP(C112,Inventory!$A$2:$L$501,12,FALSE)&lt;0,"OVER SOLD","OK"))))))</f>
        <v/>
      </c>
    </row>
    <row r="113" ht="23" customHeight="1">
      <c r="A113" s="18" t="n"/>
      <c r="B113" s="14" t="n"/>
      <c r="C113" s="14" t="n"/>
      <c r="D113" s="14" t="n"/>
      <c r="E113" s="15" t="n"/>
      <c r="F113" s="16" t="n"/>
      <c r="G113" s="13">
        <f>IF(C113="","",ROUND(E113*F113,2))</f>
        <v/>
      </c>
      <c r="H113" s="13">
        <f>IF(C113="","",IFERROR(VLOOKUP(C113,Inventory!$A$2:$J$501,9,FALSE),0))</f>
        <v/>
      </c>
      <c r="I113" s="13">
        <f>IF(C113="","",ROUND(E113*H113,2))</f>
        <v/>
      </c>
      <c r="J113" s="16" t="n"/>
      <c r="K113" s="16" t="n"/>
      <c r="L113" s="13">
        <f>IF(C113="","",ROUND(G113-I113-J113-K113,2))</f>
        <v/>
      </c>
      <c r="M113" s="15" t="n"/>
      <c r="N113" s="15" t="n"/>
      <c r="O113" s="12">
        <f>IF(C113="","",IFERROR(VLOOKUP(C113,Inventory!$A$2:$B$501,2,FALSE),"Unknown lot"))</f>
        <v/>
      </c>
      <c r="P113" s="12">
        <f>IF(D113="","",IFERROR(VLOOKUP(D113,Clients!$A$2:$B$501,2,FALSE),"Unknown client"))</f>
        <v/>
      </c>
      <c r="Q113" s="12">
        <f>IF(C113="","",IF(COUNTIF(Inventory!$A$2:$A$501,C113)&lt;&gt;1,"Check lot ID",IF(OR(A113="",B113="",E113="",F113=""),"Complete required fields",IF(COUNTIF($B$2:$B$501,B113)&gt;1,"Duplicate sale ID",IF(AND(D113&lt;&gt;"",COUNTIF(Clients!$A$2:$A$501,D113)&lt;&gt;1),"Check client ID",IF(VLOOKUP(C113,Inventory!$A$2:$L$501,12,FALSE)&lt;0,"OVER SOLD","OK"))))))</f>
        <v/>
      </c>
    </row>
    <row r="114" ht="23" customHeight="1">
      <c r="A114" s="17" t="n"/>
      <c r="B114" s="9" t="n"/>
      <c r="C114" s="9" t="n"/>
      <c r="D114" s="9" t="n"/>
      <c r="E114" s="10" t="n"/>
      <c r="F114" s="11" t="n"/>
      <c r="G114" s="13">
        <f>IF(C114="","",ROUND(E114*F114,2))</f>
        <v/>
      </c>
      <c r="H114" s="13">
        <f>IF(C114="","",IFERROR(VLOOKUP(C114,Inventory!$A$2:$J$501,9,FALSE),0))</f>
        <v/>
      </c>
      <c r="I114" s="13">
        <f>IF(C114="","",ROUND(E114*H114,2))</f>
        <v/>
      </c>
      <c r="J114" s="11" t="n"/>
      <c r="K114" s="11" t="n"/>
      <c r="L114" s="13">
        <f>IF(C114="","",ROUND(G114-I114-J114-K114,2))</f>
        <v/>
      </c>
      <c r="M114" s="10" t="n"/>
      <c r="N114" s="10" t="n"/>
      <c r="O114" s="12">
        <f>IF(C114="","",IFERROR(VLOOKUP(C114,Inventory!$A$2:$B$501,2,FALSE),"Unknown lot"))</f>
        <v/>
      </c>
      <c r="P114" s="12">
        <f>IF(D114="","",IFERROR(VLOOKUP(D114,Clients!$A$2:$B$501,2,FALSE),"Unknown client"))</f>
        <v/>
      </c>
      <c r="Q114" s="12">
        <f>IF(C114="","",IF(COUNTIF(Inventory!$A$2:$A$501,C114)&lt;&gt;1,"Check lot ID",IF(OR(A114="",B114="",E114="",F114=""),"Complete required fields",IF(COUNTIF($B$2:$B$501,B114)&gt;1,"Duplicate sale ID",IF(AND(D114&lt;&gt;"",COUNTIF(Clients!$A$2:$A$501,D114)&lt;&gt;1),"Check client ID",IF(VLOOKUP(C114,Inventory!$A$2:$L$501,12,FALSE)&lt;0,"OVER SOLD","OK"))))))</f>
        <v/>
      </c>
    </row>
    <row r="115" ht="23" customHeight="1">
      <c r="A115" s="18" t="n"/>
      <c r="B115" s="14" t="n"/>
      <c r="C115" s="14" t="n"/>
      <c r="D115" s="14" t="n"/>
      <c r="E115" s="15" t="n"/>
      <c r="F115" s="16" t="n"/>
      <c r="G115" s="13">
        <f>IF(C115="","",ROUND(E115*F115,2))</f>
        <v/>
      </c>
      <c r="H115" s="13">
        <f>IF(C115="","",IFERROR(VLOOKUP(C115,Inventory!$A$2:$J$501,9,FALSE),0))</f>
        <v/>
      </c>
      <c r="I115" s="13">
        <f>IF(C115="","",ROUND(E115*H115,2))</f>
        <v/>
      </c>
      <c r="J115" s="16" t="n"/>
      <c r="K115" s="16" t="n"/>
      <c r="L115" s="13">
        <f>IF(C115="","",ROUND(G115-I115-J115-K115,2))</f>
        <v/>
      </c>
      <c r="M115" s="15" t="n"/>
      <c r="N115" s="15" t="n"/>
      <c r="O115" s="12">
        <f>IF(C115="","",IFERROR(VLOOKUP(C115,Inventory!$A$2:$B$501,2,FALSE),"Unknown lot"))</f>
        <v/>
      </c>
      <c r="P115" s="12">
        <f>IF(D115="","",IFERROR(VLOOKUP(D115,Clients!$A$2:$B$501,2,FALSE),"Unknown client"))</f>
        <v/>
      </c>
      <c r="Q115" s="12">
        <f>IF(C115="","",IF(COUNTIF(Inventory!$A$2:$A$501,C115)&lt;&gt;1,"Check lot ID",IF(OR(A115="",B115="",E115="",F115=""),"Complete required fields",IF(COUNTIF($B$2:$B$501,B115)&gt;1,"Duplicate sale ID",IF(AND(D115&lt;&gt;"",COUNTIF(Clients!$A$2:$A$501,D115)&lt;&gt;1),"Check client ID",IF(VLOOKUP(C115,Inventory!$A$2:$L$501,12,FALSE)&lt;0,"OVER SOLD","OK"))))))</f>
        <v/>
      </c>
    </row>
    <row r="116" ht="23" customHeight="1">
      <c r="A116" s="17" t="n"/>
      <c r="B116" s="9" t="n"/>
      <c r="C116" s="9" t="n"/>
      <c r="D116" s="9" t="n"/>
      <c r="E116" s="10" t="n"/>
      <c r="F116" s="11" t="n"/>
      <c r="G116" s="13">
        <f>IF(C116="","",ROUND(E116*F116,2))</f>
        <v/>
      </c>
      <c r="H116" s="13">
        <f>IF(C116="","",IFERROR(VLOOKUP(C116,Inventory!$A$2:$J$501,9,FALSE),0))</f>
        <v/>
      </c>
      <c r="I116" s="13">
        <f>IF(C116="","",ROUND(E116*H116,2))</f>
        <v/>
      </c>
      <c r="J116" s="11" t="n"/>
      <c r="K116" s="11" t="n"/>
      <c r="L116" s="13">
        <f>IF(C116="","",ROUND(G116-I116-J116-K116,2))</f>
        <v/>
      </c>
      <c r="M116" s="10" t="n"/>
      <c r="N116" s="10" t="n"/>
      <c r="O116" s="12">
        <f>IF(C116="","",IFERROR(VLOOKUP(C116,Inventory!$A$2:$B$501,2,FALSE),"Unknown lot"))</f>
        <v/>
      </c>
      <c r="P116" s="12">
        <f>IF(D116="","",IFERROR(VLOOKUP(D116,Clients!$A$2:$B$501,2,FALSE),"Unknown client"))</f>
        <v/>
      </c>
      <c r="Q116" s="12">
        <f>IF(C116="","",IF(COUNTIF(Inventory!$A$2:$A$501,C116)&lt;&gt;1,"Check lot ID",IF(OR(A116="",B116="",E116="",F116=""),"Complete required fields",IF(COUNTIF($B$2:$B$501,B116)&gt;1,"Duplicate sale ID",IF(AND(D116&lt;&gt;"",COUNTIF(Clients!$A$2:$A$501,D116)&lt;&gt;1),"Check client ID",IF(VLOOKUP(C116,Inventory!$A$2:$L$501,12,FALSE)&lt;0,"OVER SOLD","OK"))))))</f>
        <v/>
      </c>
    </row>
    <row r="117" ht="23" customHeight="1">
      <c r="A117" s="18" t="n"/>
      <c r="B117" s="14" t="n"/>
      <c r="C117" s="14" t="n"/>
      <c r="D117" s="14" t="n"/>
      <c r="E117" s="15" t="n"/>
      <c r="F117" s="16" t="n"/>
      <c r="G117" s="13">
        <f>IF(C117="","",ROUND(E117*F117,2))</f>
        <v/>
      </c>
      <c r="H117" s="13">
        <f>IF(C117="","",IFERROR(VLOOKUP(C117,Inventory!$A$2:$J$501,9,FALSE),0))</f>
        <v/>
      </c>
      <c r="I117" s="13">
        <f>IF(C117="","",ROUND(E117*H117,2))</f>
        <v/>
      </c>
      <c r="J117" s="16" t="n"/>
      <c r="K117" s="16" t="n"/>
      <c r="L117" s="13">
        <f>IF(C117="","",ROUND(G117-I117-J117-K117,2))</f>
        <v/>
      </c>
      <c r="M117" s="15" t="n"/>
      <c r="N117" s="15" t="n"/>
      <c r="O117" s="12">
        <f>IF(C117="","",IFERROR(VLOOKUP(C117,Inventory!$A$2:$B$501,2,FALSE),"Unknown lot"))</f>
        <v/>
      </c>
      <c r="P117" s="12">
        <f>IF(D117="","",IFERROR(VLOOKUP(D117,Clients!$A$2:$B$501,2,FALSE),"Unknown client"))</f>
        <v/>
      </c>
      <c r="Q117" s="12">
        <f>IF(C117="","",IF(COUNTIF(Inventory!$A$2:$A$501,C117)&lt;&gt;1,"Check lot ID",IF(OR(A117="",B117="",E117="",F117=""),"Complete required fields",IF(COUNTIF($B$2:$B$501,B117)&gt;1,"Duplicate sale ID",IF(AND(D117&lt;&gt;"",COUNTIF(Clients!$A$2:$A$501,D117)&lt;&gt;1),"Check client ID",IF(VLOOKUP(C117,Inventory!$A$2:$L$501,12,FALSE)&lt;0,"OVER SOLD","OK"))))))</f>
        <v/>
      </c>
    </row>
    <row r="118" ht="23" customHeight="1">
      <c r="A118" s="17" t="n"/>
      <c r="B118" s="9" t="n"/>
      <c r="C118" s="9" t="n"/>
      <c r="D118" s="9" t="n"/>
      <c r="E118" s="10" t="n"/>
      <c r="F118" s="11" t="n"/>
      <c r="G118" s="13">
        <f>IF(C118="","",ROUND(E118*F118,2))</f>
        <v/>
      </c>
      <c r="H118" s="13">
        <f>IF(C118="","",IFERROR(VLOOKUP(C118,Inventory!$A$2:$J$501,9,FALSE),0))</f>
        <v/>
      </c>
      <c r="I118" s="13">
        <f>IF(C118="","",ROUND(E118*H118,2))</f>
        <v/>
      </c>
      <c r="J118" s="11" t="n"/>
      <c r="K118" s="11" t="n"/>
      <c r="L118" s="13">
        <f>IF(C118="","",ROUND(G118-I118-J118-K118,2))</f>
        <v/>
      </c>
      <c r="M118" s="10" t="n"/>
      <c r="N118" s="10" t="n"/>
      <c r="O118" s="12">
        <f>IF(C118="","",IFERROR(VLOOKUP(C118,Inventory!$A$2:$B$501,2,FALSE),"Unknown lot"))</f>
        <v/>
      </c>
      <c r="P118" s="12">
        <f>IF(D118="","",IFERROR(VLOOKUP(D118,Clients!$A$2:$B$501,2,FALSE),"Unknown client"))</f>
        <v/>
      </c>
      <c r="Q118" s="12">
        <f>IF(C118="","",IF(COUNTIF(Inventory!$A$2:$A$501,C118)&lt;&gt;1,"Check lot ID",IF(OR(A118="",B118="",E118="",F118=""),"Complete required fields",IF(COUNTIF($B$2:$B$501,B118)&gt;1,"Duplicate sale ID",IF(AND(D118&lt;&gt;"",COUNTIF(Clients!$A$2:$A$501,D118)&lt;&gt;1),"Check client ID",IF(VLOOKUP(C118,Inventory!$A$2:$L$501,12,FALSE)&lt;0,"OVER SOLD","OK"))))))</f>
        <v/>
      </c>
    </row>
    <row r="119" ht="23" customHeight="1">
      <c r="A119" s="18" t="n"/>
      <c r="B119" s="14" t="n"/>
      <c r="C119" s="14" t="n"/>
      <c r="D119" s="14" t="n"/>
      <c r="E119" s="15" t="n"/>
      <c r="F119" s="16" t="n"/>
      <c r="G119" s="13">
        <f>IF(C119="","",ROUND(E119*F119,2))</f>
        <v/>
      </c>
      <c r="H119" s="13">
        <f>IF(C119="","",IFERROR(VLOOKUP(C119,Inventory!$A$2:$J$501,9,FALSE),0))</f>
        <v/>
      </c>
      <c r="I119" s="13">
        <f>IF(C119="","",ROUND(E119*H119,2))</f>
        <v/>
      </c>
      <c r="J119" s="16" t="n"/>
      <c r="K119" s="16" t="n"/>
      <c r="L119" s="13">
        <f>IF(C119="","",ROUND(G119-I119-J119-K119,2))</f>
        <v/>
      </c>
      <c r="M119" s="15" t="n"/>
      <c r="N119" s="15" t="n"/>
      <c r="O119" s="12">
        <f>IF(C119="","",IFERROR(VLOOKUP(C119,Inventory!$A$2:$B$501,2,FALSE),"Unknown lot"))</f>
        <v/>
      </c>
      <c r="P119" s="12">
        <f>IF(D119="","",IFERROR(VLOOKUP(D119,Clients!$A$2:$B$501,2,FALSE),"Unknown client"))</f>
        <v/>
      </c>
      <c r="Q119" s="12">
        <f>IF(C119="","",IF(COUNTIF(Inventory!$A$2:$A$501,C119)&lt;&gt;1,"Check lot ID",IF(OR(A119="",B119="",E119="",F119=""),"Complete required fields",IF(COUNTIF($B$2:$B$501,B119)&gt;1,"Duplicate sale ID",IF(AND(D119&lt;&gt;"",COUNTIF(Clients!$A$2:$A$501,D119)&lt;&gt;1),"Check client ID",IF(VLOOKUP(C119,Inventory!$A$2:$L$501,12,FALSE)&lt;0,"OVER SOLD","OK"))))))</f>
        <v/>
      </c>
    </row>
    <row r="120" ht="23" customHeight="1">
      <c r="A120" s="17" t="n"/>
      <c r="B120" s="9" t="n"/>
      <c r="C120" s="9" t="n"/>
      <c r="D120" s="9" t="n"/>
      <c r="E120" s="10" t="n"/>
      <c r="F120" s="11" t="n"/>
      <c r="G120" s="13">
        <f>IF(C120="","",ROUND(E120*F120,2))</f>
        <v/>
      </c>
      <c r="H120" s="13">
        <f>IF(C120="","",IFERROR(VLOOKUP(C120,Inventory!$A$2:$J$501,9,FALSE),0))</f>
        <v/>
      </c>
      <c r="I120" s="13">
        <f>IF(C120="","",ROUND(E120*H120,2))</f>
        <v/>
      </c>
      <c r="J120" s="11" t="n"/>
      <c r="K120" s="11" t="n"/>
      <c r="L120" s="13">
        <f>IF(C120="","",ROUND(G120-I120-J120-K120,2))</f>
        <v/>
      </c>
      <c r="M120" s="10" t="n"/>
      <c r="N120" s="10" t="n"/>
      <c r="O120" s="12">
        <f>IF(C120="","",IFERROR(VLOOKUP(C120,Inventory!$A$2:$B$501,2,FALSE),"Unknown lot"))</f>
        <v/>
      </c>
      <c r="P120" s="12">
        <f>IF(D120="","",IFERROR(VLOOKUP(D120,Clients!$A$2:$B$501,2,FALSE),"Unknown client"))</f>
        <v/>
      </c>
      <c r="Q120" s="12">
        <f>IF(C120="","",IF(COUNTIF(Inventory!$A$2:$A$501,C120)&lt;&gt;1,"Check lot ID",IF(OR(A120="",B120="",E120="",F120=""),"Complete required fields",IF(COUNTIF($B$2:$B$501,B120)&gt;1,"Duplicate sale ID",IF(AND(D120&lt;&gt;"",COUNTIF(Clients!$A$2:$A$501,D120)&lt;&gt;1),"Check client ID",IF(VLOOKUP(C120,Inventory!$A$2:$L$501,12,FALSE)&lt;0,"OVER SOLD","OK"))))))</f>
        <v/>
      </c>
    </row>
    <row r="121" ht="23" customHeight="1">
      <c r="A121" s="18" t="n"/>
      <c r="B121" s="14" t="n"/>
      <c r="C121" s="14" t="n"/>
      <c r="D121" s="14" t="n"/>
      <c r="E121" s="15" t="n"/>
      <c r="F121" s="16" t="n"/>
      <c r="G121" s="13">
        <f>IF(C121="","",ROUND(E121*F121,2))</f>
        <v/>
      </c>
      <c r="H121" s="13">
        <f>IF(C121="","",IFERROR(VLOOKUP(C121,Inventory!$A$2:$J$501,9,FALSE),0))</f>
        <v/>
      </c>
      <c r="I121" s="13">
        <f>IF(C121="","",ROUND(E121*H121,2))</f>
        <v/>
      </c>
      <c r="J121" s="16" t="n"/>
      <c r="K121" s="16" t="n"/>
      <c r="L121" s="13">
        <f>IF(C121="","",ROUND(G121-I121-J121-K121,2))</f>
        <v/>
      </c>
      <c r="M121" s="15" t="n"/>
      <c r="N121" s="15" t="n"/>
      <c r="O121" s="12">
        <f>IF(C121="","",IFERROR(VLOOKUP(C121,Inventory!$A$2:$B$501,2,FALSE),"Unknown lot"))</f>
        <v/>
      </c>
      <c r="P121" s="12">
        <f>IF(D121="","",IFERROR(VLOOKUP(D121,Clients!$A$2:$B$501,2,FALSE),"Unknown client"))</f>
        <v/>
      </c>
      <c r="Q121" s="12">
        <f>IF(C121="","",IF(COUNTIF(Inventory!$A$2:$A$501,C121)&lt;&gt;1,"Check lot ID",IF(OR(A121="",B121="",E121="",F121=""),"Complete required fields",IF(COUNTIF($B$2:$B$501,B121)&gt;1,"Duplicate sale ID",IF(AND(D121&lt;&gt;"",COUNTIF(Clients!$A$2:$A$501,D121)&lt;&gt;1),"Check client ID",IF(VLOOKUP(C121,Inventory!$A$2:$L$501,12,FALSE)&lt;0,"OVER SOLD","OK"))))))</f>
        <v/>
      </c>
    </row>
    <row r="122" ht="23" customHeight="1">
      <c r="A122" s="17" t="n"/>
      <c r="B122" s="9" t="n"/>
      <c r="C122" s="9" t="n"/>
      <c r="D122" s="9" t="n"/>
      <c r="E122" s="10" t="n"/>
      <c r="F122" s="11" t="n"/>
      <c r="G122" s="13">
        <f>IF(C122="","",ROUND(E122*F122,2))</f>
        <v/>
      </c>
      <c r="H122" s="13">
        <f>IF(C122="","",IFERROR(VLOOKUP(C122,Inventory!$A$2:$J$501,9,FALSE),0))</f>
        <v/>
      </c>
      <c r="I122" s="13">
        <f>IF(C122="","",ROUND(E122*H122,2))</f>
        <v/>
      </c>
      <c r="J122" s="11" t="n"/>
      <c r="K122" s="11" t="n"/>
      <c r="L122" s="13">
        <f>IF(C122="","",ROUND(G122-I122-J122-K122,2))</f>
        <v/>
      </c>
      <c r="M122" s="10" t="n"/>
      <c r="N122" s="10" t="n"/>
      <c r="O122" s="12">
        <f>IF(C122="","",IFERROR(VLOOKUP(C122,Inventory!$A$2:$B$501,2,FALSE),"Unknown lot"))</f>
        <v/>
      </c>
      <c r="P122" s="12">
        <f>IF(D122="","",IFERROR(VLOOKUP(D122,Clients!$A$2:$B$501,2,FALSE),"Unknown client"))</f>
        <v/>
      </c>
      <c r="Q122" s="12">
        <f>IF(C122="","",IF(COUNTIF(Inventory!$A$2:$A$501,C122)&lt;&gt;1,"Check lot ID",IF(OR(A122="",B122="",E122="",F122=""),"Complete required fields",IF(COUNTIF($B$2:$B$501,B122)&gt;1,"Duplicate sale ID",IF(AND(D122&lt;&gt;"",COUNTIF(Clients!$A$2:$A$501,D122)&lt;&gt;1),"Check client ID",IF(VLOOKUP(C122,Inventory!$A$2:$L$501,12,FALSE)&lt;0,"OVER SOLD","OK"))))))</f>
        <v/>
      </c>
    </row>
    <row r="123" ht="23" customHeight="1">
      <c r="A123" s="18" t="n"/>
      <c r="B123" s="14" t="n"/>
      <c r="C123" s="14" t="n"/>
      <c r="D123" s="14" t="n"/>
      <c r="E123" s="15" t="n"/>
      <c r="F123" s="16" t="n"/>
      <c r="G123" s="13">
        <f>IF(C123="","",ROUND(E123*F123,2))</f>
        <v/>
      </c>
      <c r="H123" s="13">
        <f>IF(C123="","",IFERROR(VLOOKUP(C123,Inventory!$A$2:$J$501,9,FALSE),0))</f>
        <v/>
      </c>
      <c r="I123" s="13">
        <f>IF(C123="","",ROUND(E123*H123,2))</f>
        <v/>
      </c>
      <c r="J123" s="16" t="n"/>
      <c r="K123" s="16" t="n"/>
      <c r="L123" s="13">
        <f>IF(C123="","",ROUND(G123-I123-J123-K123,2))</f>
        <v/>
      </c>
      <c r="M123" s="15" t="n"/>
      <c r="N123" s="15" t="n"/>
      <c r="O123" s="12">
        <f>IF(C123="","",IFERROR(VLOOKUP(C123,Inventory!$A$2:$B$501,2,FALSE),"Unknown lot"))</f>
        <v/>
      </c>
      <c r="P123" s="12">
        <f>IF(D123="","",IFERROR(VLOOKUP(D123,Clients!$A$2:$B$501,2,FALSE),"Unknown client"))</f>
        <v/>
      </c>
      <c r="Q123" s="12">
        <f>IF(C123="","",IF(COUNTIF(Inventory!$A$2:$A$501,C123)&lt;&gt;1,"Check lot ID",IF(OR(A123="",B123="",E123="",F123=""),"Complete required fields",IF(COUNTIF($B$2:$B$501,B123)&gt;1,"Duplicate sale ID",IF(AND(D123&lt;&gt;"",COUNTIF(Clients!$A$2:$A$501,D123)&lt;&gt;1),"Check client ID",IF(VLOOKUP(C123,Inventory!$A$2:$L$501,12,FALSE)&lt;0,"OVER SOLD","OK"))))))</f>
        <v/>
      </c>
    </row>
    <row r="124" ht="23" customHeight="1">
      <c r="A124" s="17" t="n"/>
      <c r="B124" s="9" t="n"/>
      <c r="C124" s="9" t="n"/>
      <c r="D124" s="9" t="n"/>
      <c r="E124" s="10" t="n"/>
      <c r="F124" s="11" t="n"/>
      <c r="G124" s="13">
        <f>IF(C124="","",ROUND(E124*F124,2))</f>
        <v/>
      </c>
      <c r="H124" s="13">
        <f>IF(C124="","",IFERROR(VLOOKUP(C124,Inventory!$A$2:$J$501,9,FALSE),0))</f>
        <v/>
      </c>
      <c r="I124" s="13">
        <f>IF(C124="","",ROUND(E124*H124,2))</f>
        <v/>
      </c>
      <c r="J124" s="11" t="n"/>
      <c r="K124" s="11" t="n"/>
      <c r="L124" s="13">
        <f>IF(C124="","",ROUND(G124-I124-J124-K124,2))</f>
        <v/>
      </c>
      <c r="M124" s="10" t="n"/>
      <c r="N124" s="10" t="n"/>
      <c r="O124" s="12">
        <f>IF(C124="","",IFERROR(VLOOKUP(C124,Inventory!$A$2:$B$501,2,FALSE),"Unknown lot"))</f>
        <v/>
      </c>
      <c r="P124" s="12">
        <f>IF(D124="","",IFERROR(VLOOKUP(D124,Clients!$A$2:$B$501,2,FALSE),"Unknown client"))</f>
        <v/>
      </c>
      <c r="Q124" s="12">
        <f>IF(C124="","",IF(COUNTIF(Inventory!$A$2:$A$501,C124)&lt;&gt;1,"Check lot ID",IF(OR(A124="",B124="",E124="",F124=""),"Complete required fields",IF(COUNTIF($B$2:$B$501,B124)&gt;1,"Duplicate sale ID",IF(AND(D124&lt;&gt;"",COUNTIF(Clients!$A$2:$A$501,D124)&lt;&gt;1),"Check client ID",IF(VLOOKUP(C124,Inventory!$A$2:$L$501,12,FALSE)&lt;0,"OVER SOLD","OK"))))))</f>
        <v/>
      </c>
    </row>
    <row r="125" ht="23" customHeight="1">
      <c r="A125" s="18" t="n"/>
      <c r="B125" s="14" t="n"/>
      <c r="C125" s="14" t="n"/>
      <c r="D125" s="14" t="n"/>
      <c r="E125" s="15" t="n"/>
      <c r="F125" s="16" t="n"/>
      <c r="G125" s="13">
        <f>IF(C125="","",ROUND(E125*F125,2))</f>
        <v/>
      </c>
      <c r="H125" s="13">
        <f>IF(C125="","",IFERROR(VLOOKUP(C125,Inventory!$A$2:$J$501,9,FALSE),0))</f>
        <v/>
      </c>
      <c r="I125" s="13">
        <f>IF(C125="","",ROUND(E125*H125,2))</f>
        <v/>
      </c>
      <c r="J125" s="16" t="n"/>
      <c r="K125" s="16" t="n"/>
      <c r="L125" s="13">
        <f>IF(C125="","",ROUND(G125-I125-J125-K125,2))</f>
        <v/>
      </c>
      <c r="M125" s="15" t="n"/>
      <c r="N125" s="15" t="n"/>
      <c r="O125" s="12">
        <f>IF(C125="","",IFERROR(VLOOKUP(C125,Inventory!$A$2:$B$501,2,FALSE),"Unknown lot"))</f>
        <v/>
      </c>
      <c r="P125" s="12">
        <f>IF(D125="","",IFERROR(VLOOKUP(D125,Clients!$A$2:$B$501,2,FALSE),"Unknown client"))</f>
        <v/>
      </c>
      <c r="Q125" s="12">
        <f>IF(C125="","",IF(COUNTIF(Inventory!$A$2:$A$501,C125)&lt;&gt;1,"Check lot ID",IF(OR(A125="",B125="",E125="",F125=""),"Complete required fields",IF(COUNTIF($B$2:$B$501,B125)&gt;1,"Duplicate sale ID",IF(AND(D125&lt;&gt;"",COUNTIF(Clients!$A$2:$A$501,D125)&lt;&gt;1),"Check client ID",IF(VLOOKUP(C125,Inventory!$A$2:$L$501,12,FALSE)&lt;0,"OVER SOLD","OK"))))))</f>
        <v/>
      </c>
    </row>
    <row r="126" ht="23" customHeight="1">
      <c r="A126" s="17" t="n"/>
      <c r="B126" s="9" t="n"/>
      <c r="C126" s="9" t="n"/>
      <c r="D126" s="9" t="n"/>
      <c r="E126" s="10" t="n"/>
      <c r="F126" s="11" t="n"/>
      <c r="G126" s="13">
        <f>IF(C126="","",ROUND(E126*F126,2))</f>
        <v/>
      </c>
      <c r="H126" s="13">
        <f>IF(C126="","",IFERROR(VLOOKUP(C126,Inventory!$A$2:$J$501,9,FALSE),0))</f>
        <v/>
      </c>
      <c r="I126" s="13">
        <f>IF(C126="","",ROUND(E126*H126,2))</f>
        <v/>
      </c>
      <c r="J126" s="11" t="n"/>
      <c r="K126" s="11" t="n"/>
      <c r="L126" s="13">
        <f>IF(C126="","",ROUND(G126-I126-J126-K126,2))</f>
        <v/>
      </c>
      <c r="M126" s="10" t="n"/>
      <c r="N126" s="10" t="n"/>
      <c r="O126" s="12">
        <f>IF(C126="","",IFERROR(VLOOKUP(C126,Inventory!$A$2:$B$501,2,FALSE),"Unknown lot"))</f>
        <v/>
      </c>
      <c r="P126" s="12">
        <f>IF(D126="","",IFERROR(VLOOKUP(D126,Clients!$A$2:$B$501,2,FALSE),"Unknown client"))</f>
        <v/>
      </c>
      <c r="Q126" s="12">
        <f>IF(C126="","",IF(COUNTIF(Inventory!$A$2:$A$501,C126)&lt;&gt;1,"Check lot ID",IF(OR(A126="",B126="",E126="",F126=""),"Complete required fields",IF(COUNTIF($B$2:$B$501,B126)&gt;1,"Duplicate sale ID",IF(AND(D126&lt;&gt;"",COUNTIF(Clients!$A$2:$A$501,D126)&lt;&gt;1),"Check client ID",IF(VLOOKUP(C126,Inventory!$A$2:$L$501,12,FALSE)&lt;0,"OVER SOLD","OK"))))))</f>
        <v/>
      </c>
    </row>
    <row r="127" ht="23" customHeight="1">
      <c r="A127" s="18" t="n"/>
      <c r="B127" s="14" t="n"/>
      <c r="C127" s="14" t="n"/>
      <c r="D127" s="14" t="n"/>
      <c r="E127" s="15" t="n"/>
      <c r="F127" s="16" t="n"/>
      <c r="G127" s="13">
        <f>IF(C127="","",ROUND(E127*F127,2))</f>
        <v/>
      </c>
      <c r="H127" s="13">
        <f>IF(C127="","",IFERROR(VLOOKUP(C127,Inventory!$A$2:$J$501,9,FALSE),0))</f>
        <v/>
      </c>
      <c r="I127" s="13">
        <f>IF(C127="","",ROUND(E127*H127,2))</f>
        <v/>
      </c>
      <c r="J127" s="16" t="n"/>
      <c r="K127" s="16" t="n"/>
      <c r="L127" s="13">
        <f>IF(C127="","",ROUND(G127-I127-J127-K127,2))</f>
        <v/>
      </c>
      <c r="M127" s="15" t="n"/>
      <c r="N127" s="15" t="n"/>
      <c r="O127" s="12">
        <f>IF(C127="","",IFERROR(VLOOKUP(C127,Inventory!$A$2:$B$501,2,FALSE),"Unknown lot"))</f>
        <v/>
      </c>
      <c r="P127" s="12">
        <f>IF(D127="","",IFERROR(VLOOKUP(D127,Clients!$A$2:$B$501,2,FALSE),"Unknown client"))</f>
        <v/>
      </c>
      <c r="Q127" s="12">
        <f>IF(C127="","",IF(COUNTIF(Inventory!$A$2:$A$501,C127)&lt;&gt;1,"Check lot ID",IF(OR(A127="",B127="",E127="",F127=""),"Complete required fields",IF(COUNTIF($B$2:$B$501,B127)&gt;1,"Duplicate sale ID",IF(AND(D127&lt;&gt;"",COUNTIF(Clients!$A$2:$A$501,D127)&lt;&gt;1),"Check client ID",IF(VLOOKUP(C127,Inventory!$A$2:$L$501,12,FALSE)&lt;0,"OVER SOLD","OK"))))))</f>
        <v/>
      </c>
    </row>
    <row r="128" ht="23" customHeight="1">
      <c r="A128" s="17" t="n"/>
      <c r="B128" s="9" t="n"/>
      <c r="C128" s="9" t="n"/>
      <c r="D128" s="9" t="n"/>
      <c r="E128" s="10" t="n"/>
      <c r="F128" s="11" t="n"/>
      <c r="G128" s="13">
        <f>IF(C128="","",ROUND(E128*F128,2))</f>
        <v/>
      </c>
      <c r="H128" s="13">
        <f>IF(C128="","",IFERROR(VLOOKUP(C128,Inventory!$A$2:$J$501,9,FALSE),0))</f>
        <v/>
      </c>
      <c r="I128" s="13">
        <f>IF(C128="","",ROUND(E128*H128,2))</f>
        <v/>
      </c>
      <c r="J128" s="11" t="n"/>
      <c r="K128" s="11" t="n"/>
      <c r="L128" s="13">
        <f>IF(C128="","",ROUND(G128-I128-J128-K128,2))</f>
        <v/>
      </c>
      <c r="M128" s="10" t="n"/>
      <c r="N128" s="10" t="n"/>
      <c r="O128" s="12">
        <f>IF(C128="","",IFERROR(VLOOKUP(C128,Inventory!$A$2:$B$501,2,FALSE),"Unknown lot"))</f>
        <v/>
      </c>
      <c r="P128" s="12">
        <f>IF(D128="","",IFERROR(VLOOKUP(D128,Clients!$A$2:$B$501,2,FALSE),"Unknown client"))</f>
        <v/>
      </c>
      <c r="Q128" s="12">
        <f>IF(C128="","",IF(COUNTIF(Inventory!$A$2:$A$501,C128)&lt;&gt;1,"Check lot ID",IF(OR(A128="",B128="",E128="",F128=""),"Complete required fields",IF(COUNTIF($B$2:$B$501,B128)&gt;1,"Duplicate sale ID",IF(AND(D128&lt;&gt;"",COUNTIF(Clients!$A$2:$A$501,D128)&lt;&gt;1),"Check client ID",IF(VLOOKUP(C128,Inventory!$A$2:$L$501,12,FALSE)&lt;0,"OVER SOLD","OK"))))))</f>
        <v/>
      </c>
    </row>
    <row r="129" ht="23" customHeight="1">
      <c r="A129" s="18" t="n"/>
      <c r="B129" s="14" t="n"/>
      <c r="C129" s="14" t="n"/>
      <c r="D129" s="14" t="n"/>
      <c r="E129" s="15" t="n"/>
      <c r="F129" s="16" t="n"/>
      <c r="G129" s="13">
        <f>IF(C129="","",ROUND(E129*F129,2))</f>
        <v/>
      </c>
      <c r="H129" s="13">
        <f>IF(C129="","",IFERROR(VLOOKUP(C129,Inventory!$A$2:$J$501,9,FALSE),0))</f>
        <v/>
      </c>
      <c r="I129" s="13">
        <f>IF(C129="","",ROUND(E129*H129,2))</f>
        <v/>
      </c>
      <c r="J129" s="16" t="n"/>
      <c r="K129" s="16" t="n"/>
      <c r="L129" s="13">
        <f>IF(C129="","",ROUND(G129-I129-J129-K129,2))</f>
        <v/>
      </c>
      <c r="M129" s="15" t="n"/>
      <c r="N129" s="15" t="n"/>
      <c r="O129" s="12">
        <f>IF(C129="","",IFERROR(VLOOKUP(C129,Inventory!$A$2:$B$501,2,FALSE),"Unknown lot"))</f>
        <v/>
      </c>
      <c r="P129" s="12">
        <f>IF(D129="","",IFERROR(VLOOKUP(D129,Clients!$A$2:$B$501,2,FALSE),"Unknown client"))</f>
        <v/>
      </c>
      <c r="Q129" s="12">
        <f>IF(C129="","",IF(COUNTIF(Inventory!$A$2:$A$501,C129)&lt;&gt;1,"Check lot ID",IF(OR(A129="",B129="",E129="",F129=""),"Complete required fields",IF(COUNTIF($B$2:$B$501,B129)&gt;1,"Duplicate sale ID",IF(AND(D129&lt;&gt;"",COUNTIF(Clients!$A$2:$A$501,D129)&lt;&gt;1),"Check client ID",IF(VLOOKUP(C129,Inventory!$A$2:$L$501,12,FALSE)&lt;0,"OVER SOLD","OK"))))))</f>
        <v/>
      </c>
    </row>
    <row r="130" ht="23" customHeight="1">
      <c r="A130" s="17" t="n"/>
      <c r="B130" s="9" t="n"/>
      <c r="C130" s="9" t="n"/>
      <c r="D130" s="9" t="n"/>
      <c r="E130" s="10" t="n"/>
      <c r="F130" s="11" t="n"/>
      <c r="G130" s="13">
        <f>IF(C130="","",ROUND(E130*F130,2))</f>
        <v/>
      </c>
      <c r="H130" s="13">
        <f>IF(C130="","",IFERROR(VLOOKUP(C130,Inventory!$A$2:$J$501,9,FALSE),0))</f>
        <v/>
      </c>
      <c r="I130" s="13">
        <f>IF(C130="","",ROUND(E130*H130,2))</f>
        <v/>
      </c>
      <c r="J130" s="11" t="n"/>
      <c r="K130" s="11" t="n"/>
      <c r="L130" s="13">
        <f>IF(C130="","",ROUND(G130-I130-J130-K130,2))</f>
        <v/>
      </c>
      <c r="M130" s="10" t="n"/>
      <c r="N130" s="10" t="n"/>
      <c r="O130" s="12">
        <f>IF(C130="","",IFERROR(VLOOKUP(C130,Inventory!$A$2:$B$501,2,FALSE),"Unknown lot"))</f>
        <v/>
      </c>
      <c r="P130" s="12">
        <f>IF(D130="","",IFERROR(VLOOKUP(D130,Clients!$A$2:$B$501,2,FALSE),"Unknown client"))</f>
        <v/>
      </c>
      <c r="Q130" s="12">
        <f>IF(C130="","",IF(COUNTIF(Inventory!$A$2:$A$501,C130)&lt;&gt;1,"Check lot ID",IF(OR(A130="",B130="",E130="",F130=""),"Complete required fields",IF(COUNTIF($B$2:$B$501,B130)&gt;1,"Duplicate sale ID",IF(AND(D130&lt;&gt;"",COUNTIF(Clients!$A$2:$A$501,D130)&lt;&gt;1),"Check client ID",IF(VLOOKUP(C130,Inventory!$A$2:$L$501,12,FALSE)&lt;0,"OVER SOLD","OK"))))))</f>
        <v/>
      </c>
    </row>
    <row r="131" ht="23" customHeight="1">
      <c r="A131" s="18" t="n"/>
      <c r="B131" s="14" t="n"/>
      <c r="C131" s="14" t="n"/>
      <c r="D131" s="14" t="n"/>
      <c r="E131" s="15" t="n"/>
      <c r="F131" s="16" t="n"/>
      <c r="G131" s="13">
        <f>IF(C131="","",ROUND(E131*F131,2))</f>
        <v/>
      </c>
      <c r="H131" s="13">
        <f>IF(C131="","",IFERROR(VLOOKUP(C131,Inventory!$A$2:$J$501,9,FALSE),0))</f>
        <v/>
      </c>
      <c r="I131" s="13">
        <f>IF(C131="","",ROUND(E131*H131,2))</f>
        <v/>
      </c>
      <c r="J131" s="16" t="n"/>
      <c r="K131" s="16" t="n"/>
      <c r="L131" s="13">
        <f>IF(C131="","",ROUND(G131-I131-J131-K131,2))</f>
        <v/>
      </c>
      <c r="M131" s="15" t="n"/>
      <c r="N131" s="15" t="n"/>
      <c r="O131" s="12">
        <f>IF(C131="","",IFERROR(VLOOKUP(C131,Inventory!$A$2:$B$501,2,FALSE),"Unknown lot"))</f>
        <v/>
      </c>
      <c r="P131" s="12">
        <f>IF(D131="","",IFERROR(VLOOKUP(D131,Clients!$A$2:$B$501,2,FALSE),"Unknown client"))</f>
        <v/>
      </c>
      <c r="Q131" s="12">
        <f>IF(C131="","",IF(COUNTIF(Inventory!$A$2:$A$501,C131)&lt;&gt;1,"Check lot ID",IF(OR(A131="",B131="",E131="",F131=""),"Complete required fields",IF(COUNTIF($B$2:$B$501,B131)&gt;1,"Duplicate sale ID",IF(AND(D131&lt;&gt;"",COUNTIF(Clients!$A$2:$A$501,D131)&lt;&gt;1),"Check client ID",IF(VLOOKUP(C131,Inventory!$A$2:$L$501,12,FALSE)&lt;0,"OVER SOLD","OK"))))))</f>
        <v/>
      </c>
    </row>
    <row r="132" ht="23" customHeight="1">
      <c r="A132" s="17" t="n"/>
      <c r="B132" s="9" t="n"/>
      <c r="C132" s="9" t="n"/>
      <c r="D132" s="9" t="n"/>
      <c r="E132" s="10" t="n"/>
      <c r="F132" s="11" t="n"/>
      <c r="G132" s="13">
        <f>IF(C132="","",ROUND(E132*F132,2))</f>
        <v/>
      </c>
      <c r="H132" s="13">
        <f>IF(C132="","",IFERROR(VLOOKUP(C132,Inventory!$A$2:$J$501,9,FALSE),0))</f>
        <v/>
      </c>
      <c r="I132" s="13">
        <f>IF(C132="","",ROUND(E132*H132,2))</f>
        <v/>
      </c>
      <c r="J132" s="11" t="n"/>
      <c r="K132" s="11" t="n"/>
      <c r="L132" s="13">
        <f>IF(C132="","",ROUND(G132-I132-J132-K132,2))</f>
        <v/>
      </c>
      <c r="M132" s="10" t="n"/>
      <c r="N132" s="10" t="n"/>
      <c r="O132" s="12">
        <f>IF(C132="","",IFERROR(VLOOKUP(C132,Inventory!$A$2:$B$501,2,FALSE),"Unknown lot"))</f>
        <v/>
      </c>
      <c r="P132" s="12">
        <f>IF(D132="","",IFERROR(VLOOKUP(D132,Clients!$A$2:$B$501,2,FALSE),"Unknown client"))</f>
        <v/>
      </c>
      <c r="Q132" s="12">
        <f>IF(C132="","",IF(COUNTIF(Inventory!$A$2:$A$501,C132)&lt;&gt;1,"Check lot ID",IF(OR(A132="",B132="",E132="",F132=""),"Complete required fields",IF(COUNTIF($B$2:$B$501,B132)&gt;1,"Duplicate sale ID",IF(AND(D132&lt;&gt;"",COUNTIF(Clients!$A$2:$A$501,D132)&lt;&gt;1),"Check client ID",IF(VLOOKUP(C132,Inventory!$A$2:$L$501,12,FALSE)&lt;0,"OVER SOLD","OK"))))))</f>
        <v/>
      </c>
    </row>
    <row r="133" ht="23" customHeight="1">
      <c r="A133" s="18" t="n"/>
      <c r="B133" s="14" t="n"/>
      <c r="C133" s="14" t="n"/>
      <c r="D133" s="14" t="n"/>
      <c r="E133" s="15" t="n"/>
      <c r="F133" s="16" t="n"/>
      <c r="G133" s="13">
        <f>IF(C133="","",ROUND(E133*F133,2))</f>
        <v/>
      </c>
      <c r="H133" s="13">
        <f>IF(C133="","",IFERROR(VLOOKUP(C133,Inventory!$A$2:$J$501,9,FALSE),0))</f>
        <v/>
      </c>
      <c r="I133" s="13">
        <f>IF(C133="","",ROUND(E133*H133,2))</f>
        <v/>
      </c>
      <c r="J133" s="16" t="n"/>
      <c r="K133" s="16" t="n"/>
      <c r="L133" s="13">
        <f>IF(C133="","",ROUND(G133-I133-J133-K133,2))</f>
        <v/>
      </c>
      <c r="M133" s="15" t="n"/>
      <c r="N133" s="15" t="n"/>
      <c r="O133" s="12">
        <f>IF(C133="","",IFERROR(VLOOKUP(C133,Inventory!$A$2:$B$501,2,FALSE),"Unknown lot"))</f>
        <v/>
      </c>
      <c r="P133" s="12">
        <f>IF(D133="","",IFERROR(VLOOKUP(D133,Clients!$A$2:$B$501,2,FALSE),"Unknown client"))</f>
        <v/>
      </c>
      <c r="Q133" s="12">
        <f>IF(C133="","",IF(COUNTIF(Inventory!$A$2:$A$501,C133)&lt;&gt;1,"Check lot ID",IF(OR(A133="",B133="",E133="",F133=""),"Complete required fields",IF(COUNTIF($B$2:$B$501,B133)&gt;1,"Duplicate sale ID",IF(AND(D133&lt;&gt;"",COUNTIF(Clients!$A$2:$A$501,D133)&lt;&gt;1),"Check client ID",IF(VLOOKUP(C133,Inventory!$A$2:$L$501,12,FALSE)&lt;0,"OVER SOLD","OK"))))))</f>
        <v/>
      </c>
    </row>
    <row r="134" ht="23" customHeight="1">
      <c r="A134" s="17" t="n"/>
      <c r="B134" s="9" t="n"/>
      <c r="C134" s="9" t="n"/>
      <c r="D134" s="9" t="n"/>
      <c r="E134" s="10" t="n"/>
      <c r="F134" s="11" t="n"/>
      <c r="G134" s="13">
        <f>IF(C134="","",ROUND(E134*F134,2))</f>
        <v/>
      </c>
      <c r="H134" s="13">
        <f>IF(C134="","",IFERROR(VLOOKUP(C134,Inventory!$A$2:$J$501,9,FALSE),0))</f>
        <v/>
      </c>
      <c r="I134" s="13">
        <f>IF(C134="","",ROUND(E134*H134,2))</f>
        <v/>
      </c>
      <c r="J134" s="11" t="n"/>
      <c r="K134" s="11" t="n"/>
      <c r="L134" s="13">
        <f>IF(C134="","",ROUND(G134-I134-J134-K134,2))</f>
        <v/>
      </c>
      <c r="M134" s="10" t="n"/>
      <c r="N134" s="10" t="n"/>
      <c r="O134" s="12">
        <f>IF(C134="","",IFERROR(VLOOKUP(C134,Inventory!$A$2:$B$501,2,FALSE),"Unknown lot"))</f>
        <v/>
      </c>
      <c r="P134" s="12">
        <f>IF(D134="","",IFERROR(VLOOKUP(D134,Clients!$A$2:$B$501,2,FALSE),"Unknown client"))</f>
        <v/>
      </c>
      <c r="Q134" s="12">
        <f>IF(C134="","",IF(COUNTIF(Inventory!$A$2:$A$501,C134)&lt;&gt;1,"Check lot ID",IF(OR(A134="",B134="",E134="",F134=""),"Complete required fields",IF(COUNTIF($B$2:$B$501,B134)&gt;1,"Duplicate sale ID",IF(AND(D134&lt;&gt;"",COUNTIF(Clients!$A$2:$A$501,D134)&lt;&gt;1),"Check client ID",IF(VLOOKUP(C134,Inventory!$A$2:$L$501,12,FALSE)&lt;0,"OVER SOLD","OK"))))))</f>
        <v/>
      </c>
    </row>
    <row r="135" ht="23" customHeight="1">
      <c r="A135" s="18" t="n"/>
      <c r="B135" s="14" t="n"/>
      <c r="C135" s="14" t="n"/>
      <c r="D135" s="14" t="n"/>
      <c r="E135" s="15" t="n"/>
      <c r="F135" s="16" t="n"/>
      <c r="G135" s="13">
        <f>IF(C135="","",ROUND(E135*F135,2))</f>
        <v/>
      </c>
      <c r="H135" s="13">
        <f>IF(C135="","",IFERROR(VLOOKUP(C135,Inventory!$A$2:$J$501,9,FALSE),0))</f>
        <v/>
      </c>
      <c r="I135" s="13">
        <f>IF(C135="","",ROUND(E135*H135,2))</f>
        <v/>
      </c>
      <c r="J135" s="16" t="n"/>
      <c r="K135" s="16" t="n"/>
      <c r="L135" s="13">
        <f>IF(C135="","",ROUND(G135-I135-J135-K135,2))</f>
        <v/>
      </c>
      <c r="M135" s="15" t="n"/>
      <c r="N135" s="15" t="n"/>
      <c r="O135" s="12">
        <f>IF(C135="","",IFERROR(VLOOKUP(C135,Inventory!$A$2:$B$501,2,FALSE),"Unknown lot"))</f>
        <v/>
      </c>
      <c r="P135" s="12">
        <f>IF(D135="","",IFERROR(VLOOKUP(D135,Clients!$A$2:$B$501,2,FALSE),"Unknown client"))</f>
        <v/>
      </c>
      <c r="Q135" s="12">
        <f>IF(C135="","",IF(COUNTIF(Inventory!$A$2:$A$501,C135)&lt;&gt;1,"Check lot ID",IF(OR(A135="",B135="",E135="",F135=""),"Complete required fields",IF(COUNTIF($B$2:$B$501,B135)&gt;1,"Duplicate sale ID",IF(AND(D135&lt;&gt;"",COUNTIF(Clients!$A$2:$A$501,D135)&lt;&gt;1),"Check client ID",IF(VLOOKUP(C135,Inventory!$A$2:$L$501,12,FALSE)&lt;0,"OVER SOLD","OK"))))))</f>
        <v/>
      </c>
    </row>
    <row r="136" ht="23" customHeight="1">
      <c r="A136" s="17" t="n"/>
      <c r="B136" s="9" t="n"/>
      <c r="C136" s="9" t="n"/>
      <c r="D136" s="9" t="n"/>
      <c r="E136" s="10" t="n"/>
      <c r="F136" s="11" t="n"/>
      <c r="G136" s="13">
        <f>IF(C136="","",ROUND(E136*F136,2))</f>
        <v/>
      </c>
      <c r="H136" s="13">
        <f>IF(C136="","",IFERROR(VLOOKUP(C136,Inventory!$A$2:$J$501,9,FALSE),0))</f>
        <v/>
      </c>
      <c r="I136" s="13">
        <f>IF(C136="","",ROUND(E136*H136,2))</f>
        <v/>
      </c>
      <c r="J136" s="11" t="n"/>
      <c r="K136" s="11" t="n"/>
      <c r="L136" s="13">
        <f>IF(C136="","",ROUND(G136-I136-J136-K136,2))</f>
        <v/>
      </c>
      <c r="M136" s="10" t="n"/>
      <c r="N136" s="10" t="n"/>
      <c r="O136" s="12">
        <f>IF(C136="","",IFERROR(VLOOKUP(C136,Inventory!$A$2:$B$501,2,FALSE),"Unknown lot"))</f>
        <v/>
      </c>
      <c r="P136" s="12">
        <f>IF(D136="","",IFERROR(VLOOKUP(D136,Clients!$A$2:$B$501,2,FALSE),"Unknown client"))</f>
        <v/>
      </c>
      <c r="Q136" s="12">
        <f>IF(C136="","",IF(COUNTIF(Inventory!$A$2:$A$501,C136)&lt;&gt;1,"Check lot ID",IF(OR(A136="",B136="",E136="",F136=""),"Complete required fields",IF(COUNTIF($B$2:$B$501,B136)&gt;1,"Duplicate sale ID",IF(AND(D136&lt;&gt;"",COUNTIF(Clients!$A$2:$A$501,D136)&lt;&gt;1),"Check client ID",IF(VLOOKUP(C136,Inventory!$A$2:$L$501,12,FALSE)&lt;0,"OVER SOLD","OK"))))))</f>
        <v/>
      </c>
    </row>
    <row r="137" ht="23" customHeight="1">
      <c r="A137" s="18" t="n"/>
      <c r="B137" s="14" t="n"/>
      <c r="C137" s="14" t="n"/>
      <c r="D137" s="14" t="n"/>
      <c r="E137" s="15" t="n"/>
      <c r="F137" s="16" t="n"/>
      <c r="G137" s="13">
        <f>IF(C137="","",ROUND(E137*F137,2))</f>
        <v/>
      </c>
      <c r="H137" s="13">
        <f>IF(C137="","",IFERROR(VLOOKUP(C137,Inventory!$A$2:$J$501,9,FALSE),0))</f>
        <v/>
      </c>
      <c r="I137" s="13">
        <f>IF(C137="","",ROUND(E137*H137,2))</f>
        <v/>
      </c>
      <c r="J137" s="16" t="n"/>
      <c r="K137" s="16" t="n"/>
      <c r="L137" s="13">
        <f>IF(C137="","",ROUND(G137-I137-J137-K137,2))</f>
        <v/>
      </c>
      <c r="M137" s="15" t="n"/>
      <c r="N137" s="15" t="n"/>
      <c r="O137" s="12">
        <f>IF(C137="","",IFERROR(VLOOKUP(C137,Inventory!$A$2:$B$501,2,FALSE),"Unknown lot"))</f>
        <v/>
      </c>
      <c r="P137" s="12">
        <f>IF(D137="","",IFERROR(VLOOKUP(D137,Clients!$A$2:$B$501,2,FALSE),"Unknown client"))</f>
        <v/>
      </c>
      <c r="Q137" s="12">
        <f>IF(C137="","",IF(COUNTIF(Inventory!$A$2:$A$501,C137)&lt;&gt;1,"Check lot ID",IF(OR(A137="",B137="",E137="",F137=""),"Complete required fields",IF(COUNTIF($B$2:$B$501,B137)&gt;1,"Duplicate sale ID",IF(AND(D137&lt;&gt;"",COUNTIF(Clients!$A$2:$A$501,D137)&lt;&gt;1),"Check client ID",IF(VLOOKUP(C137,Inventory!$A$2:$L$501,12,FALSE)&lt;0,"OVER SOLD","OK"))))))</f>
        <v/>
      </c>
    </row>
    <row r="138" ht="23" customHeight="1">
      <c r="A138" s="17" t="n"/>
      <c r="B138" s="9" t="n"/>
      <c r="C138" s="9" t="n"/>
      <c r="D138" s="9" t="n"/>
      <c r="E138" s="10" t="n"/>
      <c r="F138" s="11" t="n"/>
      <c r="G138" s="13">
        <f>IF(C138="","",ROUND(E138*F138,2))</f>
        <v/>
      </c>
      <c r="H138" s="13">
        <f>IF(C138="","",IFERROR(VLOOKUP(C138,Inventory!$A$2:$J$501,9,FALSE),0))</f>
        <v/>
      </c>
      <c r="I138" s="13">
        <f>IF(C138="","",ROUND(E138*H138,2))</f>
        <v/>
      </c>
      <c r="J138" s="11" t="n"/>
      <c r="K138" s="11" t="n"/>
      <c r="L138" s="13">
        <f>IF(C138="","",ROUND(G138-I138-J138-K138,2))</f>
        <v/>
      </c>
      <c r="M138" s="10" t="n"/>
      <c r="N138" s="10" t="n"/>
      <c r="O138" s="12">
        <f>IF(C138="","",IFERROR(VLOOKUP(C138,Inventory!$A$2:$B$501,2,FALSE),"Unknown lot"))</f>
        <v/>
      </c>
      <c r="P138" s="12">
        <f>IF(D138="","",IFERROR(VLOOKUP(D138,Clients!$A$2:$B$501,2,FALSE),"Unknown client"))</f>
        <v/>
      </c>
      <c r="Q138" s="12">
        <f>IF(C138="","",IF(COUNTIF(Inventory!$A$2:$A$501,C138)&lt;&gt;1,"Check lot ID",IF(OR(A138="",B138="",E138="",F138=""),"Complete required fields",IF(COUNTIF($B$2:$B$501,B138)&gt;1,"Duplicate sale ID",IF(AND(D138&lt;&gt;"",COUNTIF(Clients!$A$2:$A$501,D138)&lt;&gt;1),"Check client ID",IF(VLOOKUP(C138,Inventory!$A$2:$L$501,12,FALSE)&lt;0,"OVER SOLD","OK"))))))</f>
        <v/>
      </c>
    </row>
    <row r="139" ht="23" customHeight="1">
      <c r="A139" s="18" t="n"/>
      <c r="B139" s="14" t="n"/>
      <c r="C139" s="14" t="n"/>
      <c r="D139" s="14" t="n"/>
      <c r="E139" s="15" t="n"/>
      <c r="F139" s="16" t="n"/>
      <c r="G139" s="13">
        <f>IF(C139="","",ROUND(E139*F139,2))</f>
        <v/>
      </c>
      <c r="H139" s="13">
        <f>IF(C139="","",IFERROR(VLOOKUP(C139,Inventory!$A$2:$J$501,9,FALSE),0))</f>
        <v/>
      </c>
      <c r="I139" s="13">
        <f>IF(C139="","",ROUND(E139*H139,2))</f>
        <v/>
      </c>
      <c r="J139" s="16" t="n"/>
      <c r="K139" s="16" t="n"/>
      <c r="L139" s="13">
        <f>IF(C139="","",ROUND(G139-I139-J139-K139,2))</f>
        <v/>
      </c>
      <c r="M139" s="15" t="n"/>
      <c r="N139" s="15" t="n"/>
      <c r="O139" s="12">
        <f>IF(C139="","",IFERROR(VLOOKUP(C139,Inventory!$A$2:$B$501,2,FALSE),"Unknown lot"))</f>
        <v/>
      </c>
      <c r="P139" s="12">
        <f>IF(D139="","",IFERROR(VLOOKUP(D139,Clients!$A$2:$B$501,2,FALSE),"Unknown client"))</f>
        <v/>
      </c>
      <c r="Q139" s="12">
        <f>IF(C139="","",IF(COUNTIF(Inventory!$A$2:$A$501,C139)&lt;&gt;1,"Check lot ID",IF(OR(A139="",B139="",E139="",F139=""),"Complete required fields",IF(COUNTIF($B$2:$B$501,B139)&gt;1,"Duplicate sale ID",IF(AND(D139&lt;&gt;"",COUNTIF(Clients!$A$2:$A$501,D139)&lt;&gt;1),"Check client ID",IF(VLOOKUP(C139,Inventory!$A$2:$L$501,12,FALSE)&lt;0,"OVER SOLD","OK"))))))</f>
        <v/>
      </c>
    </row>
    <row r="140" ht="23" customHeight="1">
      <c r="A140" s="17" t="n"/>
      <c r="B140" s="9" t="n"/>
      <c r="C140" s="9" t="n"/>
      <c r="D140" s="9" t="n"/>
      <c r="E140" s="10" t="n"/>
      <c r="F140" s="11" t="n"/>
      <c r="G140" s="13">
        <f>IF(C140="","",ROUND(E140*F140,2))</f>
        <v/>
      </c>
      <c r="H140" s="13">
        <f>IF(C140="","",IFERROR(VLOOKUP(C140,Inventory!$A$2:$J$501,9,FALSE),0))</f>
        <v/>
      </c>
      <c r="I140" s="13">
        <f>IF(C140="","",ROUND(E140*H140,2))</f>
        <v/>
      </c>
      <c r="J140" s="11" t="n"/>
      <c r="K140" s="11" t="n"/>
      <c r="L140" s="13">
        <f>IF(C140="","",ROUND(G140-I140-J140-K140,2))</f>
        <v/>
      </c>
      <c r="M140" s="10" t="n"/>
      <c r="N140" s="10" t="n"/>
      <c r="O140" s="12">
        <f>IF(C140="","",IFERROR(VLOOKUP(C140,Inventory!$A$2:$B$501,2,FALSE),"Unknown lot"))</f>
        <v/>
      </c>
      <c r="P140" s="12">
        <f>IF(D140="","",IFERROR(VLOOKUP(D140,Clients!$A$2:$B$501,2,FALSE),"Unknown client"))</f>
        <v/>
      </c>
      <c r="Q140" s="12">
        <f>IF(C140="","",IF(COUNTIF(Inventory!$A$2:$A$501,C140)&lt;&gt;1,"Check lot ID",IF(OR(A140="",B140="",E140="",F140=""),"Complete required fields",IF(COUNTIF($B$2:$B$501,B140)&gt;1,"Duplicate sale ID",IF(AND(D140&lt;&gt;"",COUNTIF(Clients!$A$2:$A$501,D140)&lt;&gt;1),"Check client ID",IF(VLOOKUP(C140,Inventory!$A$2:$L$501,12,FALSE)&lt;0,"OVER SOLD","OK"))))))</f>
        <v/>
      </c>
    </row>
    <row r="141" ht="23" customHeight="1">
      <c r="A141" s="18" t="n"/>
      <c r="B141" s="14" t="n"/>
      <c r="C141" s="14" t="n"/>
      <c r="D141" s="14" t="n"/>
      <c r="E141" s="15" t="n"/>
      <c r="F141" s="16" t="n"/>
      <c r="G141" s="13">
        <f>IF(C141="","",ROUND(E141*F141,2))</f>
        <v/>
      </c>
      <c r="H141" s="13">
        <f>IF(C141="","",IFERROR(VLOOKUP(C141,Inventory!$A$2:$J$501,9,FALSE),0))</f>
        <v/>
      </c>
      <c r="I141" s="13">
        <f>IF(C141="","",ROUND(E141*H141,2))</f>
        <v/>
      </c>
      <c r="J141" s="16" t="n"/>
      <c r="K141" s="16" t="n"/>
      <c r="L141" s="13">
        <f>IF(C141="","",ROUND(G141-I141-J141-K141,2))</f>
        <v/>
      </c>
      <c r="M141" s="15" t="n"/>
      <c r="N141" s="15" t="n"/>
      <c r="O141" s="12">
        <f>IF(C141="","",IFERROR(VLOOKUP(C141,Inventory!$A$2:$B$501,2,FALSE),"Unknown lot"))</f>
        <v/>
      </c>
      <c r="P141" s="12">
        <f>IF(D141="","",IFERROR(VLOOKUP(D141,Clients!$A$2:$B$501,2,FALSE),"Unknown client"))</f>
        <v/>
      </c>
      <c r="Q141" s="12">
        <f>IF(C141="","",IF(COUNTIF(Inventory!$A$2:$A$501,C141)&lt;&gt;1,"Check lot ID",IF(OR(A141="",B141="",E141="",F141=""),"Complete required fields",IF(COUNTIF($B$2:$B$501,B141)&gt;1,"Duplicate sale ID",IF(AND(D141&lt;&gt;"",COUNTIF(Clients!$A$2:$A$501,D141)&lt;&gt;1),"Check client ID",IF(VLOOKUP(C141,Inventory!$A$2:$L$501,12,FALSE)&lt;0,"OVER SOLD","OK"))))))</f>
        <v/>
      </c>
    </row>
    <row r="142" ht="23" customHeight="1">
      <c r="A142" s="17" t="n"/>
      <c r="B142" s="9" t="n"/>
      <c r="C142" s="9" t="n"/>
      <c r="D142" s="9" t="n"/>
      <c r="E142" s="10" t="n"/>
      <c r="F142" s="11" t="n"/>
      <c r="G142" s="13">
        <f>IF(C142="","",ROUND(E142*F142,2))</f>
        <v/>
      </c>
      <c r="H142" s="13">
        <f>IF(C142="","",IFERROR(VLOOKUP(C142,Inventory!$A$2:$J$501,9,FALSE),0))</f>
        <v/>
      </c>
      <c r="I142" s="13">
        <f>IF(C142="","",ROUND(E142*H142,2))</f>
        <v/>
      </c>
      <c r="J142" s="11" t="n"/>
      <c r="K142" s="11" t="n"/>
      <c r="L142" s="13">
        <f>IF(C142="","",ROUND(G142-I142-J142-K142,2))</f>
        <v/>
      </c>
      <c r="M142" s="10" t="n"/>
      <c r="N142" s="10" t="n"/>
      <c r="O142" s="12">
        <f>IF(C142="","",IFERROR(VLOOKUP(C142,Inventory!$A$2:$B$501,2,FALSE),"Unknown lot"))</f>
        <v/>
      </c>
      <c r="P142" s="12">
        <f>IF(D142="","",IFERROR(VLOOKUP(D142,Clients!$A$2:$B$501,2,FALSE),"Unknown client"))</f>
        <v/>
      </c>
      <c r="Q142" s="12">
        <f>IF(C142="","",IF(COUNTIF(Inventory!$A$2:$A$501,C142)&lt;&gt;1,"Check lot ID",IF(OR(A142="",B142="",E142="",F142=""),"Complete required fields",IF(COUNTIF($B$2:$B$501,B142)&gt;1,"Duplicate sale ID",IF(AND(D142&lt;&gt;"",COUNTIF(Clients!$A$2:$A$501,D142)&lt;&gt;1),"Check client ID",IF(VLOOKUP(C142,Inventory!$A$2:$L$501,12,FALSE)&lt;0,"OVER SOLD","OK"))))))</f>
        <v/>
      </c>
    </row>
    <row r="143" ht="23" customHeight="1">
      <c r="A143" s="18" t="n"/>
      <c r="B143" s="14" t="n"/>
      <c r="C143" s="14" t="n"/>
      <c r="D143" s="14" t="n"/>
      <c r="E143" s="15" t="n"/>
      <c r="F143" s="16" t="n"/>
      <c r="G143" s="13">
        <f>IF(C143="","",ROUND(E143*F143,2))</f>
        <v/>
      </c>
      <c r="H143" s="13">
        <f>IF(C143="","",IFERROR(VLOOKUP(C143,Inventory!$A$2:$J$501,9,FALSE),0))</f>
        <v/>
      </c>
      <c r="I143" s="13">
        <f>IF(C143="","",ROUND(E143*H143,2))</f>
        <v/>
      </c>
      <c r="J143" s="16" t="n"/>
      <c r="K143" s="16" t="n"/>
      <c r="L143" s="13">
        <f>IF(C143="","",ROUND(G143-I143-J143-K143,2))</f>
        <v/>
      </c>
      <c r="M143" s="15" t="n"/>
      <c r="N143" s="15" t="n"/>
      <c r="O143" s="12">
        <f>IF(C143="","",IFERROR(VLOOKUP(C143,Inventory!$A$2:$B$501,2,FALSE),"Unknown lot"))</f>
        <v/>
      </c>
      <c r="P143" s="12">
        <f>IF(D143="","",IFERROR(VLOOKUP(D143,Clients!$A$2:$B$501,2,FALSE),"Unknown client"))</f>
        <v/>
      </c>
      <c r="Q143" s="12">
        <f>IF(C143="","",IF(COUNTIF(Inventory!$A$2:$A$501,C143)&lt;&gt;1,"Check lot ID",IF(OR(A143="",B143="",E143="",F143=""),"Complete required fields",IF(COUNTIF($B$2:$B$501,B143)&gt;1,"Duplicate sale ID",IF(AND(D143&lt;&gt;"",COUNTIF(Clients!$A$2:$A$501,D143)&lt;&gt;1),"Check client ID",IF(VLOOKUP(C143,Inventory!$A$2:$L$501,12,FALSE)&lt;0,"OVER SOLD","OK"))))))</f>
        <v/>
      </c>
    </row>
    <row r="144" ht="23" customHeight="1">
      <c r="A144" s="17" t="n"/>
      <c r="B144" s="9" t="n"/>
      <c r="C144" s="9" t="n"/>
      <c r="D144" s="9" t="n"/>
      <c r="E144" s="10" t="n"/>
      <c r="F144" s="11" t="n"/>
      <c r="G144" s="13">
        <f>IF(C144="","",ROUND(E144*F144,2))</f>
        <v/>
      </c>
      <c r="H144" s="13">
        <f>IF(C144="","",IFERROR(VLOOKUP(C144,Inventory!$A$2:$J$501,9,FALSE),0))</f>
        <v/>
      </c>
      <c r="I144" s="13">
        <f>IF(C144="","",ROUND(E144*H144,2))</f>
        <v/>
      </c>
      <c r="J144" s="11" t="n"/>
      <c r="K144" s="11" t="n"/>
      <c r="L144" s="13">
        <f>IF(C144="","",ROUND(G144-I144-J144-K144,2))</f>
        <v/>
      </c>
      <c r="M144" s="10" t="n"/>
      <c r="N144" s="10" t="n"/>
      <c r="O144" s="12">
        <f>IF(C144="","",IFERROR(VLOOKUP(C144,Inventory!$A$2:$B$501,2,FALSE),"Unknown lot"))</f>
        <v/>
      </c>
      <c r="P144" s="12">
        <f>IF(D144="","",IFERROR(VLOOKUP(D144,Clients!$A$2:$B$501,2,FALSE),"Unknown client"))</f>
        <v/>
      </c>
      <c r="Q144" s="12">
        <f>IF(C144="","",IF(COUNTIF(Inventory!$A$2:$A$501,C144)&lt;&gt;1,"Check lot ID",IF(OR(A144="",B144="",E144="",F144=""),"Complete required fields",IF(COUNTIF($B$2:$B$501,B144)&gt;1,"Duplicate sale ID",IF(AND(D144&lt;&gt;"",COUNTIF(Clients!$A$2:$A$501,D144)&lt;&gt;1),"Check client ID",IF(VLOOKUP(C144,Inventory!$A$2:$L$501,12,FALSE)&lt;0,"OVER SOLD","OK"))))))</f>
        <v/>
      </c>
    </row>
    <row r="145" ht="23" customHeight="1">
      <c r="A145" s="18" t="n"/>
      <c r="B145" s="14" t="n"/>
      <c r="C145" s="14" t="n"/>
      <c r="D145" s="14" t="n"/>
      <c r="E145" s="15" t="n"/>
      <c r="F145" s="16" t="n"/>
      <c r="G145" s="13">
        <f>IF(C145="","",ROUND(E145*F145,2))</f>
        <v/>
      </c>
      <c r="H145" s="13">
        <f>IF(C145="","",IFERROR(VLOOKUP(C145,Inventory!$A$2:$J$501,9,FALSE),0))</f>
        <v/>
      </c>
      <c r="I145" s="13">
        <f>IF(C145="","",ROUND(E145*H145,2))</f>
        <v/>
      </c>
      <c r="J145" s="16" t="n"/>
      <c r="K145" s="16" t="n"/>
      <c r="L145" s="13">
        <f>IF(C145="","",ROUND(G145-I145-J145-K145,2))</f>
        <v/>
      </c>
      <c r="M145" s="15" t="n"/>
      <c r="N145" s="15" t="n"/>
      <c r="O145" s="12">
        <f>IF(C145="","",IFERROR(VLOOKUP(C145,Inventory!$A$2:$B$501,2,FALSE),"Unknown lot"))</f>
        <v/>
      </c>
      <c r="P145" s="12">
        <f>IF(D145="","",IFERROR(VLOOKUP(D145,Clients!$A$2:$B$501,2,FALSE),"Unknown client"))</f>
        <v/>
      </c>
      <c r="Q145" s="12">
        <f>IF(C145="","",IF(COUNTIF(Inventory!$A$2:$A$501,C145)&lt;&gt;1,"Check lot ID",IF(OR(A145="",B145="",E145="",F145=""),"Complete required fields",IF(COUNTIF($B$2:$B$501,B145)&gt;1,"Duplicate sale ID",IF(AND(D145&lt;&gt;"",COUNTIF(Clients!$A$2:$A$501,D145)&lt;&gt;1),"Check client ID",IF(VLOOKUP(C145,Inventory!$A$2:$L$501,12,FALSE)&lt;0,"OVER SOLD","OK"))))))</f>
        <v/>
      </c>
    </row>
    <row r="146" ht="23" customHeight="1">
      <c r="A146" s="17" t="n"/>
      <c r="B146" s="9" t="n"/>
      <c r="C146" s="9" t="n"/>
      <c r="D146" s="9" t="n"/>
      <c r="E146" s="10" t="n"/>
      <c r="F146" s="11" t="n"/>
      <c r="G146" s="13">
        <f>IF(C146="","",ROUND(E146*F146,2))</f>
        <v/>
      </c>
      <c r="H146" s="13">
        <f>IF(C146="","",IFERROR(VLOOKUP(C146,Inventory!$A$2:$J$501,9,FALSE),0))</f>
        <v/>
      </c>
      <c r="I146" s="13">
        <f>IF(C146="","",ROUND(E146*H146,2))</f>
        <v/>
      </c>
      <c r="J146" s="11" t="n"/>
      <c r="K146" s="11" t="n"/>
      <c r="L146" s="13">
        <f>IF(C146="","",ROUND(G146-I146-J146-K146,2))</f>
        <v/>
      </c>
      <c r="M146" s="10" t="n"/>
      <c r="N146" s="10" t="n"/>
      <c r="O146" s="12">
        <f>IF(C146="","",IFERROR(VLOOKUP(C146,Inventory!$A$2:$B$501,2,FALSE),"Unknown lot"))</f>
        <v/>
      </c>
      <c r="P146" s="12">
        <f>IF(D146="","",IFERROR(VLOOKUP(D146,Clients!$A$2:$B$501,2,FALSE),"Unknown client"))</f>
        <v/>
      </c>
      <c r="Q146" s="12">
        <f>IF(C146="","",IF(COUNTIF(Inventory!$A$2:$A$501,C146)&lt;&gt;1,"Check lot ID",IF(OR(A146="",B146="",E146="",F146=""),"Complete required fields",IF(COUNTIF($B$2:$B$501,B146)&gt;1,"Duplicate sale ID",IF(AND(D146&lt;&gt;"",COUNTIF(Clients!$A$2:$A$501,D146)&lt;&gt;1),"Check client ID",IF(VLOOKUP(C146,Inventory!$A$2:$L$501,12,FALSE)&lt;0,"OVER SOLD","OK"))))))</f>
        <v/>
      </c>
    </row>
    <row r="147" ht="23" customHeight="1">
      <c r="A147" s="18" t="n"/>
      <c r="B147" s="14" t="n"/>
      <c r="C147" s="14" t="n"/>
      <c r="D147" s="14" t="n"/>
      <c r="E147" s="15" t="n"/>
      <c r="F147" s="16" t="n"/>
      <c r="G147" s="13">
        <f>IF(C147="","",ROUND(E147*F147,2))</f>
        <v/>
      </c>
      <c r="H147" s="13">
        <f>IF(C147="","",IFERROR(VLOOKUP(C147,Inventory!$A$2:$J$501,9,FALSE),0))</f>
        <v/>
      </c>
      <c r="I147" s="13">
        <f>IF(C147="","",ROUND(E147*H147,2))</f>
        <v/>
      </c>
      <c r="J147" s="16" t="n"/>
      <c r="K147" s="16" t="n"/>
      <c r="L147" s="13">
        <f>IF(C147="","",ROUND(G147-I147-J147-K147,2))</f>
        <v/>
      </c>
      <c r="M147" s="15" t="n"/>
      <c r="N147" s="15" t="n"/>
      <c r="O147" s="12">
        <f>IF(C147="","",IFERROR(VLOOKUP(C147,Inventory!$A$2:$B$501,2,FALSE),"Unknown lot"))</f>
        <v/>
      </c>
      <c r="P147" s="12">
        <f>IF(D147="","",IFERROR(VLOOKUP(D147,Clients!$A$2:$B$501,2,FALSE),"Unknown client"))</f>
        <v/>
      </c>
      <c r="Q147" s="12">
        <f>IF(C147="","",IF(COUNTIF(Inventory!$A$2:$A$501,C147)&lt;&gt;1,"Check lot ID",IF(OR(A147="",B147="",E147="",F147=""),"Complete required fields",IF(COUNTIF($B$2:$B$501,B147)&gt;1,"Duplicate sale ID",IF(AND(D147&lt;&gt;"",COUNTIF(Clients!$A$2:$A$501,D147)&lt;&gt;1),"Check client ID",IF(VLOOKUP(C147,Inventory!$A$2:$L$501,12,FALSE)&lt;0,"OVER SOLD","OK"))))))</f>
        <v/>
      </c>
    </row>
    <row r="148" ht="23" customHeight="1">
      <c r="A148" s="17" t="n"/>
      <c r="B148" s="9" t="n"/>
      <c r="C148" s="9" t="n"/>
      <c r="D148" s="9" t="n"/>
      <c r="E148" s="10" t="n"/>
      <c r="F148" s="11" t="n"/>
      <c r="G148" s="13">
        <f>IF(C148="","",ROUND(E148*F148,2))</f>
        <v/>
      </c>
      <c r="H148" s="13">
        <f>IF(C148="","",IFERROR(VLOOKUP(C148,Inventory!$A$2:$J$501,9,FALSE),0))</f>
        <v/>
      </c>
      <c r="I148" s="13">
        <f>IF(C148="","",ROUND(E148*H148,2))</f>
        <v/>
      </c>
      <c r="J148" s="11" t="n"/>
      <c r="K148" s="11" t="n"/>
      <c r="L148" s="13">
        <f>IF(C148="","",ROUND(G148-I148-J148-K148,2))</f>
        <v/>
      </c>
      <c r="M148" s="10" t="n"/>
      <c r="N148" s="10" t="n"/>
      <c r="O148" s="12">
        <f>IF(C148="","",IFERROR(VLOOKUP(C148,Inventory!$A$2:$B$501,2,FALSE),"Unknown lot"))</f>
        <v/>
      </c>
      <c r="P148" s="12">
        <f>IF(D148="","",IFERROR(VLOOKUP(D148,Clients!$A$2:$B$501,2,FALSE),"Unknown client"))</f>
        <v/>
      </c>
      <c r="Q148" s="12">
        <f>IF(C148="","",IF(COUNTIF(Inventory!$A$2:$A$501,C148)&lt;&gt;1,"Check lot ID",IF(OR(A148="",B148="",E148="",F148=""),"Complete required fields",IF(COUNTIF($B$2:$B$501,B148)&gt;1,"Duplicate sale ID",IF(AND(D148&lt;&gt;"",COUNTIF(Clients!$A$2:$A$501,D148)&lt;&gt;1),"Check client ID",IF(VLOOKUP(C148,Inventory!$A$2:$L$501,12,FALSE)&lt;0,"OVER SOLD","OK"))))))</f>
        <v/>
      </c>
    </row>
    <row r="149" ht="23" customHeight="1">
      <c r="A149" s="18" t="n"/>
      <c r="B149" s="14" t="n"/>
      <c r="C149" s="14" t="n"/>
      <c r="D149" s="14" t="n"/>
      <c r="E149" s="15" t="n"/>
      <c r="F149" s="16" t="n"/>
      <c r="G149" s="13">
        <f>IF(C149="","",ROUND(E149*F149,2))</f>
        <v/>
      </c>
      <c r="H149" s="13">
        <f>IF(C149="","",IFERROR(VLOOKUP(C149,Inventory!$A$2:$J$501,9,FALSE),0))</f>
        <v/>
      </c>
      <c r="I149" s="13">
        <f>IF(C149="","",ROUND(E149*H149,2))</f>
        <v/>
      </c>
      <c r="J149" s="16" t="n"/>
      <c r="K149" s="16" t="n"/>
      <c r="L149" s="13">
        <f>IF(C149="","",ROUND(G149-I149-J149-K149,2))</f>
        <v/>
      </c>
      <c r="M149" s="15" t="n"/>
      <c r="N149" s="15" t="n"/>
      <c r="O149" s="12">
        <f>IF(C149="","",IFERROR(VLOOKUP(C149,Inventory!$A$2:$B$501,2,FALSE),"Unknown lot"))</f>
        <v/>
      </c>
      <c r="P149" s="12">
        <f>IF(D149="","",IFERROR(VLOOKUP(D149,Clients!$A$2:$B$501,2,FALSE),"Unknown client"))</f>
        <v/>
      </c>
      <c r="Q149" s="12">
        <f>IF(C149="","",IF(COUNTIF(Inventory!$A$2:$A$501,C149)&lt;&gt;1,"Check lot ID",IF(OR(A149="",B149="",E149="",F149=""),"Complete required fields",IF(COUNTIF($B$2:$B$501,B149)&gt;1,"Duplicate sale ID",IF(AND(D149&lt;&gt;"",COUNTIF(Clients!$A$2:$A$501,D149)&lt;&gt;1),"Check client ID",IF(VLOOKUP(C149,Inventory!$A$2:$L$501,12,FALSE)&lt;0,"OVER SOLD","OK"))))))</f>
        <v/>
      </c>
    </row>
    <row r="150" ht="23" customHeight="1">
      <c r="A150" s="17" t="n"/>
      <c r="B150" s="9" t="n"/>
      <c r="C150" s="9" t="n"/>
      <c r="D150" s="9" t="n"/>
      <c r="E150" s="10" t="n"/>
      <c r="F150" s="11" t="n"/>
      <c r="G150" s="13">
        <f>IF(C150="","",ROUND(E150*F150,2))</f>
        <v/>
      </c>
      <c r="H150" s="13">
        <f>IF(C150="","",IFERROR(VLOOKUP(C150,Inventory!$A$2:$J$501,9,FALSE),0))</f>
        <v/>
      </c>
      <c r="I150" s="13">
        <f>IF(C150="","",ROUND(E150*H150,2))</f>
        <v/>
      </c>
      <c r="J150" s="11" t="n"/>
      <c r="K150" s="11" t="n"/>
      <c r="L150" s="13">
        <f>IF(C150="","",ROUND(G150-I150-J150-K150,2))</f>
        <v/>
      </c>
      <c r="M150" s="10" t="n"/>
      <c r="N150" s="10" t="n"/>
      <c r="O150" s="12">
        <f>IF(C150="","",IFERROR(VLOOKUP(C150,Inventory!$A$2:$B$501,2,FALSE),"Unknown lot"))</f>
        <v/>
      </c>
      <c r="P150" s="12">
        <f>IF(D150="","",IFERROR(VLOOKUP(D150,Clients!$A$2:$B$501,2,FALSE),"Unknown client"))</f>
        <v/>
      </c>
      <c r="Q150" s="12">
        <f>IF(C150="","",IF(COUNTIF(Inventory!$A$2:$A$501,C150)&lt;&gt;1,"Check lot ID",IF(OR(A150="",B150="",E150="",F150=""),"Complete required fields",IF(COUNTIF($B$2:$B$501,B150)&gt;1,"Duplicate sale ID",IF(AND(D150&lt;&gt;"",COUNTIF(Clients!$A$2:$A$501,D150)&lt;&gt;1),"Check client ID",IF(VLOOKUP(C150,Inventory!$A$2:$L$501,12,FALSE)&lt;0,"OVER SOLD","OK"))))))</f>
        <v/>
      </c>
    </row>
    <row r="151" ht="23" customHeight="1">
      <c r="A151" s="18" t="n"/>
      <c r="B151" s="14" t="n"/>
      <c r="C151" s="14" t="n"/>
      <c r="D151" s="14" t="n"/>
      <c r="E151" s="15" t="n"/>
      <c r="F151" s="16" t="n"/>
      <c r="G151" s="13">
        <f>IF(C151="","",ROUND(E151*F151,2))</f>
        <v/>
      </c>
      <c r="H151" s="13">
        <f>IF(C151="","",IFERROR(VLOOKUP(C151,Inventory!$A$2:$J$501,9,FALSE),0))</f>
        <v/>
      </c>
      <c r="I151" s="13">
        <f>IF(C151="","",ROUND(E151*H151,2))</f>
        <v/>
      </c>
      <c r="J151" s="16" t="n"/>
      <c r="K151" s="16" t="n"/>
      <c r="L151" s="13">
        <f>IF(C151="","",ROUND(G151-I151-J151-K151,2))</f>
        <v/>
      </c>
      <c r="M151" s="15" t="n"/>
      <c r="N151" s="15" t="n"/>
      <c r="O151" s="12">
        <f>IF(C151="","",IFERROR(VLOOKUP(C151,Inventory!$A$2:$B$501,2,FALSE),"Unknown lot"))</f>
        <v/>
      </c>
      <c r="P151" s="12">
        <f>IF(D151="","",IFERROR(VLOOKUP(D151,Clients!$A$2:$B$501,2,FALSE),"Unknown client"))</f>
        <v/>
      </c>
      <c r="Q151" s="12">
        <f>IF(C151="","",IF(COUNTIF(Inventory!$A$2:$A$501,C151)&lt;&gt;1,"Check lot ID",IF(OR(A151="",B151="",E151="",F151=""),"Complete required fields",IF(COUNTIF($B$2:$B$501,B151)&gt;1,"Duplicate sale ID",IF(AND(D151&lt;&gt;"",COUNTIF(Clients!$A$2:$A$501,D151)&lt;&gt;1),"Check client ID",IF(VLOOKUP(C151,Inventory!$A$2:$L$501,12,FALSE)&lt;0,"OVER SOLD","OK"))))))</f>
        <v/>
      </c>
    </row>
    <row r="152" ht="23" customHeight="1">
      <c r="A152" s="17" t="n"/>
      <c r="B152" s="9" t="n"/>
      <c r="C152" s="9" t="n"/>
      <c r="D152" s="9" t="n"/>
      <c r="E152" s="10" t="n"/>
      <c r="F152" s="11" t="n"/>
      <c r="G152" s="13">
        <f>IF(C152="","",ROUND(E152*F152,2))</f>
        <v/>
      </c>
      <c r="H152" s="13">
        <f>IF(C152="","",IFERROR(VLOOKUP(C152,Inventory!$A$2:$J$501,9,FALSE),0))</f>
        <v/>
      </c>
      <c r="I152" s="13">
        <f>IF(C152="","",ROUND(E152*H152,2))</f>
        <v/>
      </c>
      <c r="J152" s="11" t="n"/>
      <c r="K152" s="11" t="n"/>
      <c r="L152" s="13">
        <f>IF(C152="","",ROUND(G152-I152-J152-K152,2))</f>
        <v/>
      </c>
      <c r="M152" s="10" t="n"/>
      <c r="N152" s="10" t="n"/>
      <c r="O152" s="12">
        <f>IF(C152="","",IFERROR(VLOOKUP(C152,Inventory!$A$2:$B$501,2,FALSE),"Unknown lot"))</f>
        <v/>
      </c>
      <c r="P152" s="12">
        <f>IF(D152="","",IFERROR(VLOOKUP(D152,Clients!$A$2:$B$501,2,FALSE),"Unknown client"))</f>
        <v/>
      </c>
      <c r="Q152" s="12">
        <f>IF(C152="","",IF(COUNTIF(Inventory!$A$2:$A$501,C152)&lt;&gt;1,"Check lot ID",IF(OR(A152="",B152="",E152="",F152=""),"Complete required fields",IF(COUNTIF($B$2:$B$501,B152)&gt;1,"Duplicate sale ID",IF(AND(D152&lt;&gt;"",COUNTIF(Clients!$A$2:$A$501,D152)&lt;&gt;1),"Check client ID",IF(VLOOKUP(C152,Inventory!$A$2:$L$501,12,FALSE)&lt;0,"OVER SOLD","OK"))))))</f>
        <v/>
      </c>
    </row>
    <row r="153" ht="23" customHeight="1">
      <c r="A153" s="18" t="n"/>
      <c r="B153" s="14" t="n"/>
      <c r="C153" s="14" t="n"/>
      <c r="D153" s="14" t="n"/>
      <c r="E153" s="15" t="n"/>
      <c r="F153" s="16" t="n"/>
      <c r="G153" s="13">
        <f>IF(C153="","",ROUND(E153*F153,2))</f>
        <v/>
      </c>
      <c r="H153" s="13">
        <f>IF(C153="","",IFERROR(VLOOKUP(C153,Inventory!$A$2:$J$501,9,FALSE),0))</f>
        <v/>
      </c>
      <c r="I153" s="13">
        <f>IF(C153="","",ROUND(E153*H153,2))</f>
        <v/>
      </c>
      <c r="J153" s="16" t="n"/>
      <c r="K153" s="16" t="n"/>
      <c r="L153" s="13">
        <f>IF(C153="","",ROUND(G153-I153-J153-K153,2))</f>
        <v/>
      </c>
      <c r="M153" s="15" t="n"/>
      <c r="N153" s="15" t="n"/>
      <c r="O153" s="12">
        <f>IF(C153="","",IFERROR(VLOOKUP(C153,Inventory!$A$2:$B$501,2,FALSE),"Unknown lot"))</f>
        <v/>
      </c>
      <c r="P153" s="12">
        <f>IF(D153="","",IFERROR(VLOOKUP(D153,Clients!$A$2:$B$501,2,FALSE),"Unknown client"))</f>
        <v/>
      </c>
      <c r="Q153" s="12">
        <f>IF(C153="","",IF(COUNTIF(Inventory!$A$2:$A$501,C153)&lt;&gt;1,"Check lot ID",IF(OR(A153="",B153="",E153="",F153=""),"Complete required fields",IF(COUNTIF($B$2:$B$501,B153)&gt;1,"Duplicate sale ID",IF(AND(D153&lt;&gt;"",COUNTIF(Clients!$A$2:$A$501,D153)&lt;&gt;1),"Check client ID",IF(VLOOKUP(C153,Inventory!$A$2:$L$501,12,FALSE)&lt;0,"OVER SOLD","OK"))))))</f>
        <v/>
      </c>
    </row>
    <row r="154" ht="23" customHeight="1">
      <c r="A154" s="17" t="n"/>
      <c r="B154" s="9" t="n"/>
      <c r="C154" s="9" t="n"/>
      <c r="D154" s="9" t="n"/>
      <c r="E154" s="10" t="n"/>
      <c r="F154" s="11" t="n"/>
      <c r="G154" s="13">
        <f>IF(C154="","",ROUND(E154*F154,2))</f>
        <v/>
      </c>
      <c r="H154" s="13">
        <f>IF(C154="","",IFERROR(VLOOKUP(C154,Inventory!$A$2:$J$501,9,FALSE),0))</f>
        <v/>
      </c>
      <c r="I154" s="13">
        <f>IF(C154="","",ROUND(E154*H154,2))</f>
        <v/>
      </c>
      <c r="J154" s="11" t="n"/>
      <c r="K154" s="11" t="n"/>
      <c r="L154" s="13">
        <f>IF(C154="","",ROUND(G154-I154-J154-K154,2))</f>
        <v/>
      </c>
      <c r="M154" s="10" t="n"/>
      <c r="N154" s="10" t="n"/>
      <c r="O154" s="12">
        <f>IF(C154="","",IFERROR(VLOOKUP(C154,Inventory!$A$2:$B$501,2,FALSE),"Unknown lot"))</f>
        <v/>
      </c>
      <c r="P154" s="12">
        <f>IF(D154="","",IFERROR(VLOOKUP(D154,Clients!$A$2:$B$501,2,FALSE),"Unknown client"))</f>
        <v/>
      </c>
      <c r="Q154" s="12">
        <f>IF(C154="","",IF(COUNTIF(Inventory!$A$2:$A$501,C154)&lt;&gt;1,"Check lot ID",IF(OR(A154="",B154="",E154="",F154=""),"Complete required fields",IF(COUNTIF($B$2:$B$501,B154)&gt;1,"Duplicate sale ID",IF(AND(D154&lt;&gt;"",COUNTIF(Clients!$A$2:$A$501,D154)&lt;&gt;1),"Check client ID",IF(VLOOKUP(C154,Inventory!$A$2:$L$501,12,FALSE)&lt;0,"OVER SOLD","OK"))))))</f>
        <v/>
      </c>
    </row>
    <row r="155" ht="23" customHeight="1">
      <c r="A155" s="18" t="n"/>
      <c r="B155" s="14" t="n"/>
      <c r="C155" s="14" t="n"/>
      <c r="D155" s="14" t="n"/>
      <c r="E155" s="15" t="n"/>
      <c r="F155" s="16" t="n"/>
      <c r="G155" s="13">
        <f>IF(C155="","",ROUND(E155*F155,2))</f>
        <v/>
      </c>
      <c r="H155" s="13">
        <f>IF(C155="","",IFERROR(VLOOKUP(C155,Inventory!$A$2:$J$501,9,FALSE),0))</f>
        <v/>
      </c>
      <c r="I155" s="13">
        <f>IF(C155="","",ROUND(E155*H155,2))</f>
        <v/>
      </c>
      <c r="J155" s="16" t="n"/>
      <c r="K155" s="16" t="n"/>
      <c r="L155" s="13">
        <f>IF(C155="","",ROUND(G155-I155-J155-K155,2))</f>
        <v/>
      </c>
      <c r="M155" s="15" t="n"/>
      <c r="N155" s="15" t="n"/>
      <c r="O155" s="12">
        <f>IF(C155="","",IFERROR(VLOOKUP(C155,Inventory!$A$2:$B$501,2,FALSE),"Unknown lot"))</f>
        <v/>
      </c>
      <c r="P155" s="12">
        <f>IF(D155="","",IFERROR(VLOOKUP(D155,Clients!$A$2:$B$501,2,FALSE),"Unknown client"))</f>
        <v/>
      </c>
      <c r="Q155" s="12">
        <f>IF(C155="","",IF(COUNTIF(Inventory!$A$2:$A$501,C155)&lt;&gt;1,"Check lot ID",IF(OR(A155="",B155="",E155="",F155=""),"Complete required fields",IF(COUNTIF($B$2:$B$501,B155)&gt;1,"Duplicate sale ID",IF(AND(D155&lt;&gt;"",COUNTIF(Clients!$A$2:$A$501,D155)&lt;&gt;1),"Check client ID",IF(VLOOKUP(C155,Inventory!$A$2:$L$501,12,FALSE)&lt;0,"OVER SOLD","OK"))))))</f>
        <v/>
      </c>
    </row>
    <row r="156" ht="23" customHeight="1">
      <c r="A156" s="17" t="n"/>
      <c r="B156" s="9" t="n"/>
      <c r="C156" s="9" t="n"/>
      <c r="D156" s="9" t="n"/>
      <c r="E156" s="10" t="n"/>
      <c r="F156" s="11" t="n"/>
      <c r="G156" s="13">
        <f>IF(C156="","",ROUND(E156*F156,2))</f>
        <v/>
      </c>
      <c r="H156" s="13">
        <f>IF(C156="","",IFERROR(VLOOKUP(C156,Inventory!$A$2:$J$501,9,FALSE),0))</f>
        <v/>
      </c>
      <c r="I156" s="13">
        <f>IF(C156="","",ROUND(E156*H156,2))</f>
        <v/>
      </c>
      <c r="J156" s="11" t="n"/>
      <c r="K156" s="11" t="n"/>
      <c r="L156" s="13">
        <f>IF(C156="","",ROUND(G156-I156-J156-K156,2))</f>
        <v/>
      </c>
      <c r="M156" s="10" t="n"/>
      <c r="N156" s="10" t="n"/>
      <c r="O156" s="12">
        <f>IF(C156="","",IFERROR(VLOOKUP(C156,Inventory!$A$2:$B$501,2,FALSE),"Unknown lot"))</f>
        <v/>
      </c>
      <c r="P156" s="12">
        <f>IF(D156="","",IFERROR(VLOOKUP(D156,Clients!$A$2:$B$501,2,FALSE),"Unknown client"))</f>
        <v/>
      </c>
      <c r="Q156" s="12">
        <f>IF(C156="","",IF(COUNTIF(Inventory!$A$2:$A$501,C156)&lt;&gt;1,"Check lot ID",IF(OR(A156="",B156="",E156="",F156=""),"Complete required fields",IF(COUNTIF($B$2:$B$501,B156)&gt;1,"Duplicate sale ID",IF(AND(D156&lt;&gt;"",COUNTIF(Clients!$A$2:$A$501,D156)&lt;&gt;1),"Check client ID",IF(VLOOKUP(C156,Inventory!$A$2:$L$501,12,FALSE)&lt;0,"OVER SOLD","OK"))))))</f>
        <v/>
      </c>
    </row>
    <row r="157" ht="23" customHeight="1">
      <c r="A157" s="18" t="n"/>
      <c r="B157" s="14" t="n"/>
      <c r="C157" s="14" t="n"/>
      <c r="D157" s="14" t="n"/>
      <c r="E157" s="15" t="n"/>
      <c r="F157" s="16" t="n"/>
      <c r="G157" s="13">
        <f>IF(C157="","",ROUND(E157*F157,2))</f>
        <v/>
      </c>
      <c r="H157" s="13">
        <f>IF(C157="","",IFERROR(VLOOKUP(C157,Inventory!$A$2:$J$501,9,FALSE),0))</f>
        <v/>
      </c>
      <c r="I157" s="13">
        <f>IF(C157="","",ROUND(E157*H157,2))</f>
        <v/>
      </c>
      <c r="J157" s="16" t="n"/>
      <c r="K157" s="16" t="n"/>
      <c r="L157" s="13">
        <f>IF(C157="","",ROUND(G157-I157-J157-K157,2))</f>
        <v/>
      </c>
      <c r="M157" s="15" t="n"/>
      <c r="N157" s="15" t="n"/>
      <c r="O157" s="12">
        <f>IF(C157="","",IFERROR(VLOOKUP(C157,Inventory!$A$2:$B$501,2,FALSE),"Unknown lot"))</f>
        <v/>
      </c>
      <c r="P157" s="12">
        <f>IF(D157="","",IFERROR(VLOOKUP(D157,Clients!$A$2:$B$501,2,FALSE),"Unknown client"))</f>
        <v/>
      </c>
      <c r="Q157" s="12">
        <f>IF(C157="","",IF(COUNTIF(Inventory!$A$2:$A$501,C157)&lt;&gt;1,"Check lot ID",IF(OR(A157="",B157="",E157="",F157=""),"Complete required fields",IF(COUNTIF($B$2:$B$501,B157)&gt;1,"Duplicate sale ID",IF(AND(D157&lt;&gt;"",COUNTIF(Clients!$A$2:$A$501,D157)&lt;&gt;1),"Check client ID",IF(VLOOKUP(C157,Inventory!$A$2:$L$501,12,FALSE)&lt;0,"OVER SOLD","OK"))))))</f>
        <v/>
      </c>
    </row>
    <row r="158" ht="23" customHeight="1">
      <c r="A158" s="17" t="n"/>
      <c r="B158" s="9" t="n"/>
      <c r="C158" s="9" t="n"/>
      <c r="D158" s="9" t="n"/>
      <c r="E158" s="10" t="n"/>
      <c r="F158" s="11" t="n"/>
      <c r="G158" s="13">
        <f>IF(C158="","",ROUND(E158*F158,2))</f>
        <v/>
      </c>
      <c r="H158" s="13">
        <f>IF(C158="","",IFERROR(VLOOKUP(C158,Inventory!$A$2:$J$501,9,FALSE),0))</f>
        <v/>
      </c>
      <c r="I158" s="13">
        <f>IF(C158="","",ROUND(E158*H158,2))</f>
        <v/>
      </c>
      <c r="J158" s="11" t="n"/>
      <c r="K158" s="11" t="n"/>
      <c r="L158" s="13">
        <f>IF(C158="","",ROUND(G158-I158-J158-K158,2))</f>
        <v/>
      </c>
      <c r="M158" s="10" t="n"/>
      <c r="N158" s="10" t="n"/>
      <c r="O158" s="12">
        <f>IF(C158="","",IFERROR(VLOOKUP(C158,Inventory!$A$2:$B$501,2,FALSE),"Unknown lot"))</f>
        <v/>
      </c>
      <c r="P158" s="12">
        <f>IF(D158="","",IFERROR(VLOOKUP(D158,Clients!$A$2:$B$501,2,FALSE),"Unknown client"))</f>
        <v/>
      </c>
      <c r="Q158" s="12">
        <f>IF(C158="","",IF(COUNTIF(Inventory!$A$2:$A$501,C158)&lt;&gt;1,"Check lot ID",IF(OR(A158="",B158="",E158="",F158=""),"Complete required fields",IF(COUNTIF($B$2:$B$501,B158)&gt;1,"Duplicate sale ID",IF(AND(D158&lt;&gt;"",COUNTIF(Clients!$A$2:$A$501,D158)&lt;&gt;1),"Check client ID",IF(VLOOKUP(C158,Inventory!$A$2:$L$501,12,FALSE)&lt;0,"OVER SOLD","OK"))))))</f>
        <v/>
      </c>
    </row>
    <row r="159" ht="23" customHeight="1">
      <c r="A159" s="18" t="n"/>
      <c r="B159" s="14" t="n"/>
      <c r="C159" s="14" t="n"/>
      <c r="D159" s="14" t="n"/>
      <c r="E159" s="15" t="n"/>
      <c r="F159" s="16" t="n"/>
      <c r="G159" s="13">
        <f>IF(C159="","",ROUND(E159*F159,2))</f>
        <v/>
      </c>
      <c r="H159" s="13">
        <f>IF(C159="","",IFERROR(VLOOKUP(C159,Inventory!$A$2:$J$501,9,FALSE),0))</f>
        <v/>
      </c>
      <c r="I159" s="13">
        <f>IF(C159="","",ROUND(E159*H159,2))</f>
        <v/>
      </c>
      <c r="J159" s="16" t="n"/>
      <c r="K159" s="16" t="n"/>
      <c r="L159" s="13">
        <f>IF(C159="","",ROUND(G159-I159-J159-K159,2))</f>
        <v/>
      </c>
      <c r="M159" s="15" t="n"/>
      <c r="N159" s="15" t="n"/>
      <c r="O159" s="12">
        <f>IF(C159="","",IFERROR(VLOOKUP(C159,Inventory!$A$2:$B$501,2,FALSE),"Unknown lot"))</f>
        <v/>
      </c>
      <c r="P159" s="12">
        <f>IF(D159="","",IFERROR(VLOOKUP(D159,Clients!$A$2:$B$501,2,FALSE),"Unknown client"))</f>
        <v/>
      </c>
      <c r="Q159" s="12">
        <f>IF(C159="","",IF(COUNTIF(Inventory!$A$2:$A$501,C159)&lt;&gt;1,"Check lot ID",IF(OR(A159="",B159="",E159="",F159=""),"Complete required fields",IF(COUNTIF($B$2:$B$501,B159)&gt;1,"Duplicate sale ID",IF(AND(D159&lt;&gt;"",COUNTIF(Clients!$A$2:$A$501,D159)&lt;&gt;1),"Check client ID",IF(VLOOKUP(C159,Inventory!$A$2:$L$501,12,FALSE)&lt;0,"OVER SOLD","OK"))))))</f>
        <v/>
      </c>
    </row>
    <row r="160" ht="23" customHeight="1">
      <c r="A160" s="17" t="n"/>
      <c r="B160" s="9" t="n"/>
      <c r="C160" s="9" t="n"/>
      <c r="D160" s="9" t="n"/>
      <c r="E160" s="10" t="n"/>
      <c r="F160" s="11" t="n"/>
      <c r="G160" s="13">
        <f>IF(C160="","",ROUND(E160*F160,2))</f>
        <v/>
      </c>
      <c r="H160" s="13">
        <f>IF(C160="","",IFERROR(VLOOKUP(C160,Inventory!$A$2:$J$501,9,FALSE),0))</f>
        <v/>
      </c>
      <c r="I160" s="13">
        <f>IF(C160="","",ROUND(E160*H160,2))</f>
        <v/>
      </c>
      <c r="J160" s="11" t="n"/>
      <c r="K160" s="11" t="n"/>
      <c r="L160" s="13">
        <f>IF(C160="","",ROUND(G160-I160-J160-K160,2))</f>
        <v/>
      </c>
      <c r="M160" s="10" t="n"/>
      <c r="N160" s="10" t="n"/>
      <c r="O160" s="12">
        <f>IF(C160="","",IFERROR(VLOOKUP(C160,Inventory!$A$2:$B$501,2,FALSE),"Unknown lot"))</f>
        <v/>
      </c>
      <c r="P160" s="12">
        <f>IF(D160="","",IFERROR(VLOOKUP(D160,Clients!$A$2:$B$501,2,FALSE),"Unknown client"))</f>
        <v/>
      </c>
      <c r="Q160" s="12">
        <f>IF(C160="","",IF(COUNTIF(Inventory!$A$2:$A$501,C160)&lt;&gt;1,"Check lot ID",IF(OR(A160="",B160="",E160="",F160=""),"Complete required fields",IF(COUNTIF($B$2:$B$501,B160)&gt;1,"Duplicate sale ID",IF(AND(D160&lt;&gt;"",COUNTIF(Clients!$A$2:$A$501,D160)&lt;&gt;1),"Check client ID",IF(VLOOKUP(C160,Inventory!$A$2:$L$501,12,FALSE)&lt;0,"OVER SOLD","OK"))))))</f>
        <v/>
      </c>
    </row>
    <row r="161" ht="23" customHeight="1">
      <c r="A161" s="18" t="n"/>
      <c r="B161" s="14" t="n"/>
      <c r="C161" s="14" t="n"/>
      <c r="D161" s="14" t="n"/>
      <c r="E161" s="15" t="n"/>
      <c r="F161" s="16" t="n"/>
      <c r="G161" s="13">
        <f>IF(C161="","",ROUND(E161*F161,2))</f>
        <v/>
      </c>
      <c r="H161" s="13">
        <f>IF(C161="","",IFERROR(VLOOKUP(C161,Inventory!$A$2:$J$501,9,FALSE),0))</f>
        <v/>
      </c>
      <c r="I161" s="13">
        <f>IF(C161="","",ROUND(E161*H161,2))</f>
        <v/>
      </c>
      <c r="J161" s="16" t="n"/>
      <c r="K161" s="16" t="n"/>
      <c r="L161" s="13">
        <f>IF(C161="","",ROUND(G161-I161-J161-K161,2))</f>
        <v/>
      </c>
      <c r="M161" s="15" t="n"/>
      <c r="N161" s="15" t="n"/>
      <c r="O161" s="12">
        <f>IF(C161="","",IFERROR(VLOOKUP(C161,Inventory!$A$2:$B$501,2,FALSE),"Unknown lot"))</f>
        <v/>
      </c>
      <c r="P161" s="12">
        <f>IF(D161="","",IFERROR(VLOOKUP(D161,Clients!$A$2:$B$501,2,FALSE),"Unknown client"))</f>
        <v/>
      </c>
      <c r="Q161" s="12">
        <f>IF(C161="","",IF(COUNTIF(Inventory!$A$2:$A$501,C161)&lt;&gt;1,"Check lot ID",IF(OR(A161="",B161="",E161="",F161=""),"Complete required fields",IF(COUNTIF($B$2:$B$501,B161)&gt;1,"Duplicate sale ID",IF(AND(D161&lt;&gt;"",COUNTIF(Clients!$A$2:$A$501,D161)&lt;&gt;1),"Check client ID",IF(VLOOKUP(C161,Inventory!$A$2:$L$501,12,FALSE)&lt;0,"OVER SOLD","OK"))))))</f>
        <v/>
      </c>
    </row>
    <row r="162" ht="23" customHeight="1">
      <c r="A162" s="17" t="n"/>
      <c r="B162" s="9" t="n"/>
      <c r="C162" s="9" t="n"/>
      <c r="D162" s="9" t="n"/>
      <c r="E162" s="10" t="n"/>
      <c r="F162" s="11" t="n"/>
      <c r="G162" s="13">
        <f>IF(C162="","",ROUND(E162*F162,2))</f>
        <v/>
      </c>
      <c r="H162" s="13">
        <f>IF(C162="","",IFERROR(VLOOKUP(C162,Inventory!$A$2:$J$501,9,FALSE),0))</f>
        <v/>
      </c>
      <c r="I162" s="13">
        <f>IF(C162="","",ROUND(E162*H162,2))</f>
        <v/>
      </c>
      <c r="J162" s="11" t="n"/>
      <c r="K162" s="11" t="n"/>
      <c r="L162" s="13">
        <f>IF(C162="","",ROUND(G162-I162-J162-K162,2))</f>
        <v/>
      </c>
      <c r="M162" s="10" t="n"/>
      <c r="N162" s="10" t="n"/>
      <c r="O162" s="12">
        <f>IF(C162="","",IFERROR(VLOOKUP(C162,Inventory!$A$2:$B$501,2,FALSE),"Unknown lot"))</f>
        <v/>
      </c>
      <c r="P162" s="12">
        <f>IF(D162="","",IFERROR(VLOOKUP(D162,Clients!$A$2:$B$501,2,FALSE),"Unknown client"))</f>
        <v/>
      </c>
      <c r="Q162" s="12">
        <f>IF(C162="","",IF(COUNTIF(Inventory!$A$2:$A$501,C162)&lt;&gt;1,"Check lot ID",IF(OR(A162="",B162="",E162="",F162=""),"Complete required fields",IF(COUNTIF($B$2:$B$501,B162)&gt;1,"Duplicate sale ID",IF(AND(D162&lt;&gt;"",COUNTIF(Clients!$A$2:$A$501,D162)&lt;&gt;1),"Check client ID",IF(VLOOKUP(C162,Inventory!$A$2:$L$501,12,FALSE)&lt;0,"OVER SOLD","OK"))))))</f>
        <v/>
      </c>
    </row>
    <row r="163" ht="23" customHeight="1">
      <c r="A163" s="18" t="n"/>
      <c r="B163" s="14" t="n"/>
      <c r="C163" s="14" t="n"/>
      <c r="D163" s="14" t="n"/>
      <c r="E163" s="15" t="n"/>
      <c r="F163" s="16" t="n"/>
      <c r="G163" s="13">
        <f>IF(C163="","",ROUND(E163*F163,2))</f>
        <v/>
      </c>
      <c r="H163" s="13">
        <f>IF(C163="","",IFERROR(VLOOKUP(C163,Inventory!$A$2:$J$501,9,FALSE),0))</f>
        <v/>
      </c>
      <c r="I163" s="13">
        <f>IF(C163="","",ROUND(E163*H163,2))</f>
        <v/>
      </c>
      <c r="J163" s="16" t="n"/>
      <c r="K163" s="16" t="n"/>
      <c r="L163" s="13">
        <f>IF(C163="","",ROUND(G163-I163-J163-K163,2))</f>
        <v/>
      </c>
      <c r="M163" s="15" t="n"/>
      <c r="N163" s="15" t="n"/>
      <c r="O163" s="12">
        <f>IF(C163="","",IFERROR(VLOOKUP(C163,Inventory!$A$2:$B$501,2,FALSE),"Unknown lot"))</f>
        <v/>
      </c>
      <c r="P163" s="12">
        <f>IF(D163="","",IFERROR(VLOOKUP(D163,Clients!$A$2:$B$501,2,FALSE),"Unknown client"))</f>
        <v/>
      </c>
      <c r="Q163" s="12">
        <f>IF(C163="","",IF(COUNTIF(Inventory!$A$2:$A$501,C163)&lt;&gt;1,"Check lot ID",IF(OR(A163="",B163="",E163="",F163=""),"Complete required fields",IF(COUNTIF($B$2:$B$501,B163)&gt;1,"Duplicate sale ID",IF(AND(D163&lt;&gt;"",COUNTIF(Clients!$A$2:$A$501,D163)&lt;&gt;1),"Check client ID",IF(VLOOKUP(C163,Inventory!$A$2:$L$501,12,FALSE)&lt;0,"OVER SOLD","OK"))))))</f>
        <v/>
      </c>
    </row>
    <row r="164" ht="23" customHeight="1">
      <c r="A164" s="17" t="n"/>
      <c r="B164" s="9" t="n"/>
      <c r="C164" s="9" t="n"/>
      <c r="D164" s="9" t="n"/>
      <c r="E164" s="10" t="n"/>
      <c r="F164" s="11" t="n"/>
      <c r="G164" s="13">
        <f>IF(C164="","",ROUND(E164*F164,2))</f>
        <v/>
      </c>
      <c r="H164" s="13">
        <f>IF(C164="","",IFERROR(VLOOKUP(C164,Inventory!$A$2:$J$501,9,FALSE),0))</f>
        <v/>
      </c>
      <c r="I164" s="13">
        <f>IF(C164="","",ROUND(E164*H164,2))</f>
        <v/>
      </c>
      <c r="J164" s="11" t="n"/>
      <c r="K164" s="11" t="n"/>
      <c r="L164" s="13">
        <f>IF(C164="","",ROUND(G164-I164-J164-K164,2))</f>
        <v/>
      </c>
      <c r="M164" s="10" t="n"/>
      <c r="N164" s="10" t="n"/>
      <c r="O164" s="12">
        <f>IF(C164="","",IFERROR(VLOOKUP(C164,Inventory!$A$2:$B$501,2,FALSE),"Unknown lot"))</f>
        <v/>
      </c>
      <c r="P164" s="12">
        <f>IF(D164="","",IFERROR(VLOOKUP(D164,Clients!$A$2:$B$501,2,FALSE),"Unknown client"))</f>
        <v/>
      </c>
      <c r="Q164" s="12">
        <f>IF(C164="","",IF(COUNTIF(Inventory!$A$2:$A$501,C164)&lt;&gt;1,"Check lot ID",IF(OR(A164="",B164="",E164="",F164=""),"Complete required fields",IF(COUNTIF($B$2:$B$501,B164)&gt;1,"Duplicate sale ID",IF(AND(D164&lt;&gt;"",COUNTIF(Clients!$A$2:$A$501,D164)&lt;&gt;1),"Check client ID",IF(VLOOKUP(C164,Inventory!$A$2:$L$501,12,FALSE)&lt;0,"OVER SOLD","OK"))))))</f>
        <v/>
      </c>
    </row>
    <row r="165" ht="23" customHeight="1">
      <c r="A165" s="18" t="n"/>
      <c r="B165" s="14" t="n"/>
      <c r="C165" s="14" t="n"/>
      <c r="D165" s="14" t="n"/>
      <c r="E165" s="15" t="n"/>
      <c r="F165" s="16" t="n"/>
      <c r="G165" s="13">
        <f>IF(C165="","",ROUND(E165*F165,2))</f>
        <v/>
      </c>
      <c r="H165" s="13">
        <f>IF(C165="","",IFERROR(VLOOKUP(C165,Inventory!$A$2:$J$501,9,FALSE),0))</f>
        <v/>
      </c>
      <c r="I165" s="13">
        <f>IF(C165="","",ROUND(E165*H165,2))</f>
        <v/>
      </c>
      <c r="J165" s="16" t="n"/>
      <c r="K165" s="16" t="n"/>
      <c r="L165" s="13">
        <f>IF(C165="","",ROUND(G165-I165-J165-K165,2))</f>
        <v/>
      </c>
      <c r="M165" s="15" t="n"/>
      <c r="N165" s="15" t="n"/>
      <c r="O165" s="12">
        <f>IF(C165="","",IFERROR(VLOOKUP(C165,Inventory!$A$2:$B$501,2,FALSE),"Unknown lot"))</f>
        <v/>
      </c>
      <c r="P165" s="12">
        <f>IF(D165="","",IFERROR(VLOOKUP(D165,Clients!$A$2:$B$501,2,FALSE),"Unknown client"))</f>
        <v/>
      </c>
      <c r="Q165" s="12">
        <f>IF(C165="","",IF(COUNTIF(Inventory!$A$2:$A$501,C165)&lt;&gt;1,"Check lot ID",IF(OR(A165="",B165="",E165="",F165=""),"Complete required fields",IF(COUNTIF($B$2:$B$501,B165)&gt;1,"Duplicate sale ID",IF(AND(D165&lt;&gt;"",COUNTIF(Clients!$A$2:$A$501,D165)&lt;&gt;1),"Check client ID",IF(VLOOKUP(C165,Inventory!$A$2:$L$501,12,FALSE)&lt;0,"OVER SOLD","OK"))))))</f>
        <v/>
      </c>
    </row>
    <row r="166" ht="23" customHeight="1">
      <c r="A166" s="17" t="n"/>
      <c r="B166" s="9" t="n"/>
      <c r="C166" s="9" t="n"/>
      <c r="D166" s="9" t="n"/>
      <c r="E166" s="10" t="n"/>
      <c r="F166" s="11" t="n"/>
      <c r="G166" s="13">
        <f>IF(C166="","",ROUND(E166*F166,2))</f>
        <v/>
      </c>
      <c r="H166" s="13">
        <f>IF(C166="","",IFERROR(VLOOKUP(C166,Inventory!$A$2:$J$501,9,FALSE),0))</f>
        <v/>
      </c>
      <c r="I166" s="13">
        <f>IF(C166="","",ROUND(E166*H166,2))</f>
        <v/>
      </c>
      <c r="J166" s="11" t="n"/>
      <c r="K166" s="11" t="n"/>
      <c r="L166" s="13">
        <f>IF(C166="","",ROUND(G166-I166-J166-K166,2))</f>
        <v/>
      </c>
      <c r="M166" s="10" t="n"/>
      <c r="N166" s="10" t="n"/>
      <c r="O166" s="12">
        <f>IF(C166="","",IFERROR(VLOOKUP(C166,Inventory!$A$2:$B$501,2,FALSE),"Unknown lot"))</f>
        <v/>
      </c>
      <c r="P166" s="12">
        <f>IF(D166="","",IFERROR(VLOOKUP(D166,Clients!$A$2:$B$501,2,FALSE),"Unknown client"))</f>
        <v/>
      </c>
      <c r="Q166" s="12">
        <f>IF(C166="","",IF(COUNTIF(Inventory!$A$2:$A$501,C166)&lt;&gt;1,"Check lot ID",IF(OR(A166="",B166="",E166="",F166=""),"Complete required fields",IF(COUNTIF($B$2:$B$501,B166)&gt;1,"Duplicate sale ID",IF(AND(D166&lt;&gt;"",COUNTIF(Clients!$A$2:$A$501,D166)&lt;&gt;1),"Check client ID",IF(VLOOKUP(C166,Inventory!$A$2:$L$501,12,FALSE)&lt;0,"OVER SOLD","OK"))))))</f>
        <v/>
      </c>
    </row>
    <row r="167" ht="23" customHeight="1">
      <c r="A167" s="18" t="n"/>
      <c r="B167" s="14" t="n"/>
      <c r="C167" s="14" t="n"/>
      <c r="D167" s="14" t="n"/>
      <c r="E167" s="15" t="n"/>
      <c r="F167" s="16" t="n"/>
      <c r="G167" s="13">
        <f>IF(C167="","",ROUND(E167*F167,2))</f>
        <v/>
      </c>
      <c r="H167" s="13">
        <f>IF(C167="","",IFERROR(VLOOKUP(C167,Inventory!$A$2:$J$501,9,FALSE),0))</f>
        <v/>
      </c>
      <c r="I167" s="13">
        <f>IF(C167="","",ROUND(E167*H167,2))</f>
        <v/>
      </c>
      <c r="J167" s="16" t="n"/>
      <c r="K167" s="16" t="n"/>
      <c r="L167" s="13">
        <f>IF(C167="","",ROUND(G167-I167-J167-K167,2))</f>
        <v/>
      </c>
      <c r="M167" s="15" t="n"/>
      <c r="N167" s="15" t="n"/>
      <c r="O167" s="12">
        <f>IF(C167="","",IFERROR(VLOOKUP(C167,Inventory!$A$2:$B$501,2,FALSE),"Unknown lot"))</f>
        <v/>
      </c>
      <c r="P167" s="12">
        <f>IF(D167="","",IFERROR(VLOOKUP(D167,Clients!$A$2:$B$501,2,FALSE),"Unknown client"))</f>
        <v/>
      </c>
      <c r="Q167" s="12">
        <f>IF(C167="","",IF(COUNTIF(Inventory!$A$2:$A$501,C167)&lt;&gt;1,"Check lot ID",IF(OR(A167="",B167="",E167="",F167=""),"Complete required fields",IF(COUNTIF($B$2:$B$501,B167)&gt;1,"Duplicate sale ID",IF(AND(D167&lt;&gt;"",COUNTIF(Clients!$A$2:$A$501,D167)&lt;&gt;1),"Check client ID",IF(VLOOKUP(C167,Inventory!$A$2:$L$501,12,FALSE)&lt;0,"OVER SOLD","OK"))))))</f>
        <v/>
      </c>
    </row>
    <row r="168" ht="23" customHeight="1">
      <c r="A168" s="17" t="n"/>
      <c r="B168" s="9" t="n"/>
      <c r="C168" s="9" t="n"/>
      <c r="D168" s="9" t="n"/>
      <c r="E168" s="10" t="n"/>
      <c r="F168" s="11" t="n"/>
      <c r="G168" s="13">
        <f>IF(C168="","",ROUND(E168*F168,2))</f>
        <v/>
      </c>
      <c r="H168" s="13">
        <f>IF(C168="","",IFERROR(VLOOKUP(C168,Inventory!$A$2:$J$501,9,FALSE),0))</f>
        <v/>
      </c>
      <c r="I168" s="13">
        <f>IF(C168="","",ROUND(E168*H168,2))</f>
        <v/>
      </c>
      <c r="J168" s="11" t="n"/>
      <c r="K168" s="11" t="n"/>
      <c r="L168" s="13">
        <f>IF(C168="","",ROUND(G168-I168-J168-K168,2))</f>
        <v/>
      </c>
      <c r="M168" s="10" t="n"/>
      <c r="N168" s="10" t="n"/>
      <c r="O168" s="12">
        <f>IF(C168="","",IFERROR(VLOOKUP(C168,Inventory!$A$2:$B$501,2,FALSE),"Unknown lot"))</f>
        <v/>
      </c>
      <c r="P168" s="12">
        <f>IF(D168="","",IFERROR(VLOOKUP(D168,Clients!$A$2:$B$501,2,FALSE),"Unknown client"))</f>
        <v/>
      </c>
      <c r="Q168" s="12">
        <f>IF(C168="","",IF(COUNTIF(Inventory!$A$2:$A$501,C168)&lt;&gt;1,"Check lot ID",IF(OR(A168="",B168="",E168="",F168=""),"Complete required fields",IF(COUNTIF($B$2:$B$501,B168)&gt;1,"Duplicate sale ID",IF(AND(D168&lt;&gt;"",COUNTIF(Clients!$A$2:$A$501,D168)&lt;&gt;1),"Check client ID",IF(VLOOKUP(C168,Inventory!$A$2:$L$501,12,FALSE)&lt;0,"OVER SOLD","OK"))))))</f>
        <v/>
      </c>
    </row>
    <row r="169" ht="23" customHeight="1">
      <c r="A169" s="18" t="n"/>
      <c r="B169" s="14" t="n"/>
      <c r="C169" s="14" t="n"/>
      <c r="D169" s="14" t="n"/>
      <c r="E169" s="15" t="n"/>
      <c r="F169" s="16" t="n"/>
      <c r="G169" s="13">
        <f>IF(C169="","",ROUND(E169*F169,2))</f>
        <v/>
      </c>
      <c r="H169" s="13">
        <f>IF(C169="","",IFERROR(VLOOKUP(C169,Inventory!$A$2:$J$501,9,FALSE),0))</f>
        <v/>
      </c>
      <c r="I169" s="13">
        <f>IF(C169="","",ROUND(E169*H169,2))</f>
        <v/>
      </c>
      <c r="J169" s="16" t="n"/>
      <c r="K169" s="16" t="n"/>
      <c r="L169" s="13">
        <f>IF(C169="","",ROUND(G169-I169-J169-K169,2))</f>
        <v/>
      </c>
      <c r="M169" s="15" t="n"/>
      <c r="N169" s="15" t="n"/>
      <c r="O169" s="12">
        <f>IF(C169="","",IFERROR(VLOOKUP(C169,Inventory!$A$2:$B$501,2,FALSE),"Unknown lot"))</f>
        <v/>
      </c>
      <c r="P169" s="12">
        <f>IF(D169="","",IFERROR(VLOOKUP(D169,Clients!$A$2:$B$501,2,FALSE),"Unknown client"))</f>
        <v/>
      </c>
      <c r="Q169" s="12">
        <f>IF(C169="","",IF(COUNTIF(Inventory!$A$2:$A$501,C169)&lt;&gt;1,"Check lot ID",IF(OR(A169="",B169="",E169="",F169=""),"Complete required fields",IF(COUNTIF($B$2:$B$501,B169)&gt;1,"Duplicate sale ID",IF(AND(D169&lt;&gt;"",COUNTIF(Clients!$A$2:$A$501,D169)&lt;&gt;1),"Check client ID",IF(VLOOKUP(C169,Inventory!$A$2:$L$501,12,FALSE)&lt;0,"OVER SOLD","OK"))))))</f>
        <v/>
      </c>
    </row>
    <row r="170" ht="23" customHeight="1">
      <c r="A170" s="17" t="n"/>
      <c r="B170" s="9" t="n"/>
      <c r="C170" s="9" t="n"/>
      <c r="D170" s="9" t="n"/>
      <c r="E170" s="10" t="n"/>
      <c r="F170" s="11" t="n"/>
      <c r="G170" s="13">
        <f>IF(C170="","",ROUND(E170*F170,2))</f>
        <v/>
      </c>
      <c r="H170" s="13">
        <f>IF(C170="","",IFERROR(VLOOKUP(C170,Inventory!$A$2:$J$501,9,FALSE),0))</f>
        <v/>
      </c>
      <c r="I170" s="13">
        <f>IF(C170="","",ROUND(E170*H170,2))</f>
        <v/>
      </c>
      <c r="J170" s="11" t="n"/>
      <c r="K170" s="11" t="n"/>
      <c r="L170" s="13">
        <f>IF(C170="","",ROUND(G170-I170-J170-K170,2))</f>
        <v/>
      </c>
      <c r="M170" s="10" t="n"/>
      <c r="N170" s="10" t="n"/>
      <c r="O170" s="12">
        <f>IF(C170="","",IFERROR(VLOOKUP(C170,Inventory!$A$2:$B$501,2,FALSE),"Unknown lot"))</f>
        <v/>
      </c>
      <c r="P170" s="12">
        <f>IF(D170="","",IFERROR(VLOOKUP(D170,Clients!$A$2:$B$501,2,FALSE),"Unknown client"))</f>
        <v/>
      </c>
      <c r="Q170" s="12">
        <f>IF(C170="","",IF(COUNTIF(Inventory!$A$2:$A$501,C170)&lt;&gt;1,"Check lot ID",IF(OR(A170="",B170="",E170="",F170=""),"Complete required fields",IF(COUNTIF($B$2:$B$501,B170)&gt;1,"Duplicate sale ID",IF(AND(D170&lt;&gt;"",COUNTIF(Clients!$A$2:$A$501,D170)&lt;&gt;1),"Check client ID",IF(VLOOKUP(C170,Inventory!$A$2:$L$501,12,FALSE)&lt;0,"OVER SOLD","OK"))))))</f>
        <v/>
      </c>
    </row>
    <row r="171" ht="23" customHeight="1">
      <c r="A171" s="18" t="n"/>
      <c r="B171" s="14" t="n"/>
      <c r="C171" s="14" t="n"/>
      <c r="D171" s="14" t="n"/>
      <c r="E171" s="15" t="n"/>
      <c r="F171" s="16" t="n"/>
      <c r="G171" s="13">
        <f>IF(C171="","",ROUND(E171*F171,2))</f>
        <v/>
      </c>
      <c r="H171" s="13">
        <f>IF(C171="","",IFERROR(VLOOKUP(C171,Inventory!$A$2:$J$501,9,FALSE),0))</f>
        <v/>
      </c>
      <c r="I171" s="13">
        <f>IF(C171="","",ROUND(E171*H171,2))</f>
        <v/>
      </c>
      <c r="J171" s="16" t="n"/>
      <c r="K171" s="16" t="n"/>
      <c r="L171" s="13">
        <f>IF(C171="","",ROUND(G171-I171-J171-K171,2))</f>
        <v/>
      </c>
      <c r="M171" s="15" t="n"/>
      <c r="N171" s="15" t="n"/>
      <c r="O171" s="12">
        <f>IF(C171="","",IFERROR(VLOOKUP(C171,Inventory!$A$2:$B$501,2,FALSE),"Unknown lot"))</f>
        <v/>
      </c>
      <c r="P171" s="12">
        <f>IF(D171="","",IFERROR(VLOOKUP(D171,Clients!$A$2:$B$501,2,FALSE),"Unknown client"))</f>
        <v/>
      </c>
      <c r="Q171" s="12">
        <f>IF(C171="","",IF(COUNTIF(Inventory!$A$2:$A$501,C171)&lt;&gt;1,"Check lot ID",IF(OR(A171="",B171="",E171="",F171=""),"Complete required fields",IF(COUNTIF($B$2:$B$501,B171)&gt;1,"Duplicate sale ID",IF(AND(D171&lt;&gt;"",COUNTIF(Clients!$A$2:$A$501,D171)&lt;&gt;1),"Check client ID",IF(VLOOKUP(C171,Inventory!$A$2:$L$501,12,FALSE)&lt;0,"OVER SOLD","OK"))))))</f>
        <v/>
      </c>
    </row>
    <row r="172" ht="23" customHeight="1">
      <c r="A172" s="17" t="n"/>
      <c r="B172" s="9" t="n"/>
      <c r="C172" s="9" t="n"/>
      <c r="D172" s="9" t="n"/>
      <c r="E172" s="10" t="n"/>
      <c r="F172" s="11" t="n"/>
      <c r="G172" s="13">
        <f>IF(C172="","",ROUND(E172*F172,2))</f>
        <v/>
      </c>
      <c r="H172" s="13">
        <f>IF(C172="","",IFERROR(VLOOKUP(C172,Inventory!$A$2:$J$501,9,FALSE),0))</f>
        <v/>
      </c>
      <c r="I172" s="13">
        <f>IF(C172="","",ROUND(E172*H172,2))</f>
        <v/>
      </c>
      <c r="J172" s="11" t="n"/>
      <c r="K172" s="11" t="n"/>
      <c r="L172" s="13">
        <f>IF(C172="","",ROUND(G172-I172-J172-K172,2))</f>
        <v/>
      </c>
      <c r="M172" s="10" t="n"/>
      <c r="N172" s="10" t="n"/>
      <c r="O172" s="12">
        <f>IF(C172="","",IFERROR(VLOOKUP(C172,Inventory!$A$2:$B$501,2,FALSE),"Unknown lot"))</f>
        <v/>
      </c>
      <c r="P172" s="12">
        <f>IF(D172="","",IFERROR(VLOOKUP(D172,Clients!$A$2:$B$501,2,FALSE),"Unknown client"))</f>
        <v/>
      </c>
      <c r="Q172" s="12">
        <f>IF(C172="","",IF(COUNTIF(Inventory!$A$2:$A$501,C172)&lt;&gt;1,"Check lot ID",IF(OR(A172="",B172="",E172="",F172=""),"Complete required fields",IF(COUNTIF($B$2:$B$501,B172)&gt;1,"Duplicate sale ID",IF(AND(D172&lt;&gt;"",COUNTIF(Clients!$A$2:$A$501,D172)&lt;&gt;1),"Check client ID",IF(VLOOKUP(C172,Inventory!$A$2:$L$501,12,FALSE)&lt;0,"OVER SOLD","OK"))))))</f>
        <v/>
      </c>
    </row>
    <row r="173" ht="23" customHeight="1">
      <c r="A173" s="18" t="n"/>
      <c r="B173" s="14" t="n"/>
      <c r="C173" s="14" t="n"/>
      <c r="D173" s="14" t="n"/>
      <c r="E173" s="15" t="n"/>
      <c r="F173" s="16" t="n"/>
      <c r="G173" s="13">
        <f>IF(C173="","",ROUND(E173*F173,2))</f>
        <v/>
      </c>
      <c r="H173" s="13">
        <f>IF(C173="","",IFERROR(VLOOKUP(C173,Inventory!$A$2:$J$501,9,FALSE),0))</f>
        <v/>
      </c>
      <c r="I173" s="13">
        <f>IF(C173="","",ROUND(E173*H173,2))</f>
        <v/>
      </c>
      <c r="J173" s="16" t="n"/>
      <c r="K173" s="16" t="n"/>
      <c r="L173" s="13">
        <f>IF(C173="","",ROUND(G173-I173-J173-K173,2))</f>
        <v/>
      </c>
      <c r="M173" s="15" t="n"/>
      <c r="N173" s="15" t="n"/>
      <c r="O173" s="12">
        <f>IF(C173="","",IFERROR(VLOOKUP(C173,Inventory!$A$2:$B$501,2,FALSE),"Unknown lot"))</f>
        <v/>
      </c>
      <c r="P173" s="12">
        <f>IF(D173="","",IFERROR(VLOOKUP(D173,Clients!$A$2:$B$501,2,FALSE),"Unknown client"))</f>
        <v/>
      </c>
      <c r="Q173" s="12">
        <f>IF(C173="","",IF(COUNTIF(Inventory!$A$2:$A$501,C173)&lt;&gt;1,"Check lot ID",IF(OR(A173="",B173="",E173="",F173=""),"Complete required fields",IF(COUNTIF($B$2:$B$501,B173)&gt;1,"Duplicate sale ID",IF(AND(D173&lt;&gt;"",COUNTIF(Clients!$A$2:$A$501,D173)&lt;&gt;1),"Check client ID",IF(VLOOKUP(C173,Inventory!$A$2:$L$501,12,FALSE)&lt;0,"OVER SOLD","OK"))))))</f>
        <v/>
      </c>
    </row>
    <row r="174" ht="23" customHeight="1">
      <c r="A174" s="17" t="n"/>
      <c r="B174" s="9" t="n"/>
      <c r="C174" s="9" t="n"/>
      <c r="D174" s="9" t="n"/>
      <c r="E174" s="10" t="n"/>
      <c r="F174" s="11" t="n"/>
      <c r="G174" s="13">
        <f>IF(C174="","",ROUND(E174*F174,2))</f>
        <v/>
      </c>
      <c r="H174" s="13">
        <f>IF(C174="","",IFERROR(VLOOKUP(C174,Inventory!$A$2:$J$501,9,FALSE),0))</f>
        <v/>
      </c>
      <c r="I174" s="13">
        <f>IF(C174="","",ROUND(E174*H174,2))</f>
        <v/>
      </c>
      <c r="J174" s="11" t="n"/>
      <c r="K174" s="11" t="n"/>
      <c r="L174" s="13">
        <f>IF(C174="","",ROUND(G174-I174-J174-K174,2))</f>
        <v/>
      </c>
      <c r="M174" s="10" t="n"/>
      <c r="N174" s="10" t="n"/>
      <c r="O174" s="12">
        <f>IF(C174="","",IFERROR(VLOOKUP(C174,Inventory!$A$2:$B$501,2,FALSE),"Unknown lot"))</f>
        <v/>
      </c>
      <c r="P174" s="12">
        <f>IF(D174="","",IFERROR(VLOOKUP(D174,Clients!$A$2:$B$501,2,FALSE),"Unknown client"))</f>
        <v/>
      </c>
      <c r="Q174" s="12">
        <f>IF(C174="","",IF(COUNTIF(Inventory!$A$2:$A$501,C174)&lt;&gt;1,"Check lot ID",IF(OR(A174="",B174="",E174="",F174=""),"Complete required fields",IF(COUNTIF($B$2:$B$501,B174)&gt;1,"Duplicate sale ID",IF(AND(D174&lt;&gt;"",COUNTIF(Clients!$A$2:$A$501,D174)&lt;&gt;1),"Check client ID",IF(VLOOKUP(C174,Inventory!$A$2:$L$501,12,FALSE)&lt;0,"OVER SOLD","OK"))))))</f>
        <v/>
      </c>
    </row>
    <row r="175" ht="23" customHeight="1">
      <c r="A175" s="18" t="n"/>
      <c r="B175" s="14" t="n"/>
      <c r="C175" s="14" t="n"/>
      <c r="D175" s="14" t="n"/>
      <c r="E175" s="15" t="n"/>
      <c r="F175" s="16" t="n"/>
      <c r="G175" s="13">
        <f>IF(C175="","",ROUND(E175*F175,2))</f>
        <v/>
      </c>
      <c r="H175" s="13">
        <f>IF(C175="","",IFERROR(VLOOKUP(C175,Inventory!$A$2:$J$501,9,FALSE),0))</f>
        <v/>
      </c>
      <c r="I175" s="13">
        <f>IF(C175="","",ROUND(E175*H175,2))</f>
        <v/>
      </c>
      <c r="J175" s="16" t="n"/>
      <c r="K175" s="16" t="n"/>
      <c r="L175" s="13">
        <f>IF(C175="","",ROUND(G175-I175-J175-K175,2))</f>
        <v/>
      </c>
      <c r="M175" s="15" t="n"/>
      <c r="N175" s="15" t="n"/>
      <c r="O175" s="12">
        <f>IF(C175="","",IFERROR(VLOOKUP(C175,Inventory!$A$2:$B$501,2,FALSE),"Unknown lot"))</f>
        <v/>
      </c>
      <c r="P175" s="12">
        <f>IF(D175="","",IFERROR(VLOOKUP(D175,Clients!$A$2:$B$501,2,FALSE),"Unknown client"))</f>
        <v/>
      </c>
      <c r="Q175" s="12">
        <f>IF(C175="","",IF(COUNTIF(Inventory!$A$2:$A$501,C175)&lt;&gt;1,"Check lot ID",IF(OR(A175="",B175="",E175="",F175=""),"Complete required fields",IF(COUNTIF($B$2:$B$501,B175)&gt;1,"Duplicate sale ID",IF(AND(D175&lt;&gt;"",COUNTIF(Clients!$A$2:$A$501,D175)&lt;&gt;1),"Check client ID",IF(VLOOKUP(C175,Inventory!$A$2:$L$501,12,FALSE)&lt;0,"OVER SOLD","OK"))))))</f>
        <v/>
      </c>
    </row>
    <row r="176" ht="23" customHeight="1">
      <c r="A176" s="17" t="n"/>
      <c r="B176" s="9" t="n"/>
      <c r="C176" s="9" t="n"/>
      <c r="D176" s="9" t="n"/>
      <c r="E176" s="10" t="n"/>
      <c r="F176" s="11" t="n"/>
      <c r="G176" s="13">
        <f>IF(C176="","",ROUND(E176*F176,2))</f>
        <v/>
      </c>
      <c r="H176" s="13">
        <f>IF(C176="","",IFERROR(VLOOKUP(C176,Inventory!$A$2:$J$501,9,FALSE),0))</f>
        <v/>
      </c>
      <c r="I176" s="13">
        <f>IF(C176="","",ROUND(E176*H176,2))</f>
        <v/>
      </c>
      <c r="J176" s="11" t="n"/>
      <c r="K176" s="11" t="n"/>
      <c r="L176" s="13">
        <f>IF(C176="","",ROUND(G176-I176-J176-K176,2))</f>
        <v/>
      </c>
      <c r="M176" s="10" t="n"/>
      <c r="N176" s="10" t="n"/>
      <c r="O176" s="12">
        <f>IF(C176="","",IFERROR(VLOOKUP(C176,Inventory!$A$2:$B$501,2,FALSE),"Unknown lot"))</f>
        <v/>
      </c>
      <c r="P176" s="12">
        <f>IF(D176="","",IFERROR(VLOOKUP(D176,Clients!$A$2:$B$501,2,FALSE),"Unknown client"))</f>
        <v/>
      </c>
      <c r="Q176" s="12">
        <f>IF(C176="","",IF(COUNTIF(Inventory!$A$2:$A$501,C176)&lt;&gt;1,"Check lot ID",IF(OR(A176="",B176="",E176="",F176=""),"Complete required fields",IF(COUNTIF($B$2:$B$501,B176)&gt;1,"Duplicate sale ID",IF(AND(D176&lt;&gt;"",COUNTIF(Clients!$A$2:$A$501,D176)&lt;&gt;1),"Check client ID",IF(VLOOKUP(C176,Inventory!$A$2:$L$501,12,FALSE)&lt;0,"OVER SOLD","OK"))))))</f>
        <v/>
      </c>
    </row>
    <row r="177" ht="23" customHeight="1">
      <c r="A177" s="18" t="n"/>
      <c r="B177" s="14" t="n"/>
      <c r="C177" s="14" t="n"/>
      <c r="D177" s="14" t="n"/>
      <c r="E177" s="15" t="n"/>
      <c r="F177" s="16" t="n"/>
      <c r="G177" s="13">
        <f>IF(C177="","",ROUND(E177*F177,2))</f>
        <v/>
      </c>
      <c r="H177" s="13">
        <f>IF(C177="","",IFERROR(VLOOKUP(C177,Inventory!$A$2:$J$501,9,FALSE),0))</f>
        <v/>
      </c>
      <c r="I177" s="13">
        <f>IF(C177="","",ROUND(E177*H177,2))</f>
        <v/>
      </c>
      <c r="J177" s="16" t="n"/>
      <c r="K177" s="16" t="n"/>
      <c r="L177" s="13">
        <f>IF(C177="","",ROUND(G177-I177-J177-K177,2))</f>
        <v/>
      </c>
      <c r="M177" s="15" t="n"/>
      <c r="N177" s="15" t="n"/>
      <c r="O177" s="12">
        <f>IF(C177="","",IFERROR(VLOOKUP(C177,Inventory!$A$2:$B$501,2,FALSE),"Unknown lot"))</f>
        <v/>
      </c>
      <c r="P177" s="12">
        <f>IF(D177="","",IFERROR(VLOOKUP(D177,Clients!$A$2:$B$501,2,FALSE),"Unknown client"))</f>
        <v/>
      </c>
      <c r="Q177" s="12">
        <f>IF(C177="","",IF(COUNTIF(Inventory!$A$2:$A$501,C177)&lt;&gt;1,"Check lot ID",IF(OR(A177="",B177="",E177="",F177=""),"Complete required fields",IF(COUNTIF($B$2:$B$501,B177)&gt;1,"Duplicate sale ID",IF(AND(D177&lt;&gt;"",COUNTIF(Clients!$A$2:$A$501,D177)&lt;&gt;1),"Check client ID",IF(VLOOKUP(C177,Inventory!$A$2:$L$501,12,FALSE)&lt;0,"OVER SOLD","OK"))))))</f>
        <v/>
      </c>
    </row>
    <row r="178" ht="23" customHeight="1">
      <c r="A178" s="17" t="n"/>
      <c r="B178" s="9" t="n"/>
      <c r="C178" s="9" t="n"/>
      <c r="D178" s="9" t="n"/>
      <c r="E178" s="10" t="n"/>
      <c r="F178" s="11" t="n"/>
      <c r="G178" s="13">
        <f>IF(C178="","",ROUND(E178*F178,2))</f>
        <v/>
      </c>
      <c r="H178" s="13">
        <f>IF(C178="","",IFERROR(VLOOKUP(C178,Inventory!$A$2:$J$501,9,FALSE),0))</f>
        <v/>
      </c>
      <c r="I178" s="13">
        <f>IF(C178="","",ROUND(E178*H178,2))</f>
        <v/>
      </c>
      <c r="J178" s="11" t="n"/>
      <c r="K178" s="11" t="n"/>
      <c r="L178" s="13">
        <f>IF(C178="","",ROUND(G178-I178-J178-K178,2))</f>
        <v/>
      </c>
      <c r="M178" s="10" t="n"/>
      <c r="N178" s="10" t="n"/>
      <c r="O178" s="12">
        <f>IF(C178="","",IFERROR(VLOOKUP(C178,Inventory!$A$2:$B$501,2,FALSE),"Unknown lot"))</f>
        <v/>
      </c>
      <c r="P178" s="12">
        <f>IF(D178="","",IFERROR(VLOOKUP(D178,Clients!$A$2:$B$501,2,FALSE),"Unknown client"))</f>
        <v/>
      </c>
      <c r="Q178" s="12">
        <f>IF(C178="","",IF(COUNTIF(Inventory!$A$2:$A$501,C178)&lt;&gt;1,"Check lot ID",IF(OR(A178="",B178="",E178="",F178=""),"Complete required fields",IF(COUNTIF($B$2:$B$501,B178)&gt;1,"Duplicate sale ID",IF(AND(D178&lt;&gt;"",COUNTIF(Clients!$A$2:$A$501,D178)&lt;&gt;1),"Check client ID",IF(VLOOKUP(C178,Inventory!$A$2:$L$501,12,FALSE)&lt;0,"OVER SOLD","OK"))))))</f>
        <v/>
      </c>
    </row>
    <row r="179" ht="23" customHeight="1">
      <c r="A179" s="18" t="n"/>
      <c r="B179" s="14" t="n"/>
      <c r="C179" s="14" t="n"/>
      <c r="D179" s="14" t="n"/>
      <c r="E179" s="15" t="n"/>
      <c r="F179" s="16" t="n"/>
      <c r="G179" s="13">
        <f>IF(C179="","",ROUND(E179*F179,2))</f>
        <v/>
      </c>
      <c r="H179" s="13">
        <f>IF(C179="","",IFERROR(VLOOKUP(C179,Inventory!$A$2:$J$501,9,FALSE),0))</f>
        <v/>
      </c>
      <c r="I179" s="13">
        <f>IF(C179="","",ROUND(E179*H179,2))</f>
        <v/>
      </c>
      <c r="J179" s="16" t="n"/>
      <c r="K179" s="16" t="n"/>
      <c r="L179" s="13">
        <f>IF(C179="","",ROUND(G179-I179-J179-K179,2))</f>
        <v/>
      </c>
      <c r="M179" s="15" t="n"/>
      <c r="N179" s="15" t="n"/>
      <c r="O179" s="12">
        <f>IF(C179="","",IFERROR(VLOOKUP(C179,Inventory!$A$2:$B$501,2,FALSE),"Unknown lot"))</f>
        <v/>
      </c>
      <c r="P179" s="12">
        <f>IF(D179="","",IFERROR(VLOOKUP(D179,Clients!$A$2:$B$501,2,FALSE),"Unknown client"))</f>
        <v/>
      </c>
      <c r="Q179" s="12">
        <f>IF(C179="","",IF(COUNTIF(Inventory!$A$2:$A$501,C179)&lt;&gt;1,"Check lot ID",IF(OR(A179="",B179="",E179="",F179=""),"Complete required fields",IF(COUNTIF($B$2:$B$501,B179)&gt;1,"Duplicate sale ID",IF(AND(D179&lt;&gt;"",COUNTIF(Clients!$A$2:$A$501,D179)&lt;&gt;1),"Check client ID",IF(VLOOKUP(C179,Inventory!$A$2:$L$501,12,FALSE)&lt;0,"OVER SOLD","OK"))))))</f>
        <v/>
      </c>
    </row>
    <row r="180" ht="23" customHeight="1">
      <c r="A180" s="17" t="n"/>
      <c r="B180" s="9" t="n"/>
      <c r="C180" s="9" t="n"/>
      <c r="D180" s="9" t="n"/>
      <c r="E180" s="10" t="n"/>
      <c r="F180" s="11" t="n"/>
      <c r="G180" s="13">
        <f>IF(C180="","",ROUND(E180*F180,2))</f>
        <v/>
      </c>
      <c r="H180" s="13">
        <f>IF(C180="","",IFERROR(VLOOKUP(C180,Inventory!$A$2:$J$501,9,FALSE),0))</f>
        <v/>
      </c>
      <c r="I180" s="13">
        <f>IF(C180="","",ROUND(E180*H180,2))</f>
        <v/>
      </c>
      <c r="J180" s="11" t="n"/>
      <c r="K180" s="11" t="n"/>
      <c r="L180" s="13">
        <f>IF(C180="","",ROUND(G180-I180-J180-K180,2))</f>
        <v/>
      </c>
      <c r="M180" s="10" t="n"/>
      <c r="N180" s="10" t="n"/>
      <c r="O180" s="12">
        <f>IF(C180="","",IFERROR(VLOOKUP(C180,Inventory!$A$2:$B$501,2,FALSE),"Unknown lot"))</f>
        <v/>
      </c>
      <c r="P180" s="12">
        <f>IF(D180="","",IFERROR(VLOOKUP(D180,Clients!$A$2:$B$501,2,FALSE),"Unknown client"))</f>
        <v/>
      </c>
      <c r="Q180" s="12">
        <f>IF(C180="","",IF(COUNTIF(Inventory!$A$2:$A$501,C180)&lt;&gt;1,"Check lot ID",IF(OR(A180="",B180="",E180="",F180=""),"Complete required fields",IF(COUNTIF($B$2:$B$501,B180)&gt;1,"Duplicate sale ID",IF(AND(D180&lt;&gt;"",COUNTIF(Clients!$A$2:$A$501,D180)&lt;&gt;1),"Check client ID",IF(VLOOKUP(C180,Inventory!$A$2:$L$501,12,FALSE)&lt;0,"OVER SOLD","OK"))))))</f>
        <v/>
      </c>
    </row>
    <row r="181" ht="23" customHeight="1">
      <c r="A181" s="18" t="n"/>
      <c r="B181" s="14" t="n"/>
      <c r="C181" s="14" t="n"/>
      <c r="D181" s="14" t="n"/>
      <c r="E181" s="15" t="n"/>
      <c r="F181" s="16" t="n"/>
      <c r="G181" s="13">
        <f>IF(C181="","",ROUND(E181*F181,2))</f>
        <v/>
      </c>
      <c r="H181" s="13">
        <f>IF(C181="","",IFERROR(VLOOKUP(C181,Inventory!$A$2:$J$501,9,FALSE),0))</f>
        <v/>
      </c>
      <c r="I181" s="13">
        <f>IF(C181="","",ROUND(E181*H181,2))</f>
        <v/>
      </c>
      <c r="J181" s="16" t="n"/>
      <c r="K181" s="16" t="n"/>
      <c r="L181" s="13">
        <f>IF(C181="","",ROUND(G181-I181-J181-K181,2))</f>
        <v/>
      </c>
      <c r="M181" s="15" t="n"/>
      <c r="N181" s="15" t="n"/>
      <c r="O181" s="12">
        <f>IF(C181="","",IFERROR(VLOOKUP(C181,Inventory!$A$2:$B$501,2,FALSE),"Unknown lot"))</f>
        <v/>
      </c>
      <c r="P181" s="12">
        <f>IF(D181="","",IFERROR(VLOOKUP(D181,Clients!$A$2:$B$501,2,FALSE),"Unknown client"))</f>
        <v/>
      </c>
      <c r="Q181" s="12">
        <f>IF(C181="","",IF(COUNTIF(Inventory!$A$2:$A$501,C181)&lt;&gt;1,"Check lot ID",IF(OR(A181="",B181="",E181="",F181=""),"Complete required fields",IF(COUNTIF($B$2:$B$501,B181)&gt;1,"Duplicate sale ID",IF(AND(D181&lt;&gt;"",COUNTIF(Clients!$A$2:$A$501,D181)&lt;&gt;1),"Check client ID",IF(VLOOKUP(C181,Inventory!$A$2:$L$501,12,FALSE)&lt;0,"OVER SOLD","OK"))))))</f>
        <v/>
      </c>
    </row>
    <row r="182" ht="23" customHeight="1">
      <c r="A182" s="17" t="n"/>
      <c r="B182" s="9" t="n"/>
      <c r="C182" s="9" t="n"/>
      <c r="D182" s="9" t="n"/>
      <c r="E182" s="10" t="n"/>
      <c r="F182" s="11" t="n"/>
      <c r="G182" s="13">
        <f>IF(C182="","",ROUND(E182*F182,2))</f>
        <v/>
      </c>
      <c r="H182" s="13">
        <f>IF(C182="","",IFERROR(VLOOKUP(C182,Inventory!$A$2:$J$501,9,FALSE),0))</f>
        <v/>
      </c>
      <c r="I182" s="13">
        <f>IF(C182="","",ROUND(E182*H182,2))</f>
        <v/>
      </c>
      <c r="J182" s="11" t="n"/>
      <c r="K182" s="11" t="n"/>
      <c r="L182" s="13">
        <f>IF(C182="","",ROUND(G182-I182-J182-K182,2))</f>
        <v/>
      </c>
      <c r="M182" s="10" t="n"/>
      <c r="N182" s="10" t="n"/>
      <c r="O182" s="12">
        <f>IF(C182="","",IFERROR(VLOOKUP(C182,Inventory!$A$2:$B$501,2,FALSE),"Unknown lot"))</f>
        <v/>
      </c>
      <c r="P182" s="12">
        <f>IF(D182="","",IFERROR(VLOOKUP(D182,Clients!$A$2:$B$501,2,FALSE),"Unknown client"))</f>
        <v/>
      </c>
      <c r="Q182" s="12">
        <f>IF(C182="","",IF(COUNTIF(Inventory!$A$2:$A$501,C182)&lt;&gt;1,"Check lot ID",IF(OR(A182="",B182="",E182="",F182=""),"Complete required fields",IF(COUNTIF($B$2:$B$501,B182)&gt;1,"Duplicate sale ID",IF(AND(D182&lt;&gt;"",COUNTIF(Clients!$A$2:$A$501,D182)&lt;&gt;1),"Check client ID",IF(VLOOKUP(C182,Inventory!$A$2:$L$501,12,FALSE)&lt;0,"OVER SOLD","OK"))))))</f>
        <v/>
      </c>
    </row>
    <row r="183" ht="23" customHeight="1">
      <c r="A183" s="18" t="n"/>
      <c r="B183" s="14" t="n"/>
      <c r="C183" s="14" t="n"/>
      <c r="D183" s="14" t="n"/>
      <c r="E183" s="15" t="n"/>
      <c r="F183" s="16" t="n"/>
      <c r="G183" s="13">
        <f>IF(C183="","",ROUND(E183*F183,2))</f>
        <v/>
      </c>
      <c r="H183" s="13">
        <f>IF(C183="","",IFERROR(VLOOKUP(C183,Inventory!$A$2:$J$501,9,FALSE),0))</f>
        <v/>
      </c>
      <c r="I183" s="13">
        <f>IF(C183="","",ROUND(E183*H183,2))</f>
        <v/>
      </c>
      <c r="J183" s="16" t="n"/>
      <c r="K183" s="16" t="n"/>
      <c r="L183" s="13">
        <f>IF(C183="","",ROUND(G183-I183-J183-K183,2))</f>
        <v/>
      </c>
      <c r="M183" s="15" t="n"/>
      <c r="N183" s="15" t="n"/>
      <c r="O183" s="12">
        <f>IF(C183="","",IFERROR(VLOOKUP(C183,Inventory!$A$2:$B$501,2,FALSE),"Unknown lot"))</f>
        <v/>
      </c>
      <c r="P183" s="12">
        <f>IF(D183="","",IFERROR(VLOOKUP(D183,Clients!$A$2:$B$501,2,FALSE),"Unknown client"))</f>
        <v/>
      </c>
      <c r="Q183" s="12">
        <f>IF(C183="","",IF(COUNTIF(Inventory!$A$2:$A$501,C183)&lt;&gt;1,"Check lot ID",IF(OR(A183="",B183="",E183="",F183=""),"Complete required fields",IF(COUNTIF($B$2:$B$501,B183)&gt;1,"Duplicate sale ID",IF(AND(D183&lt;&gt;"",COUNTIF(Clients!$A$2:$A$501,D183)&lt;&gt;1),"Check client ID",IF(VLOOKUP(C183,Inventory!$A$2:$L$501,12,FALSE)&lt;0,"OVER SOLD","OK"))))))</f>
        <v/>
      </c>
    </row>
    <row r="184" ht="23" customHeight="1">
      <c r="A184" s="17" t="n"/>
      <c r="B184" s="9" t="n"/>
      <c r="C184" s="9" t="n"/>
      <c r="D184" s="9" t="n"/>
      <c r="E184" s="10" t="n"/>
      <c r="F184" s="11" t="n"/>
      <c r="G184" s="13">
        <f>IF(C184="","",ROUND(E184*F184,2))</f>
        <v/>
      </c>
      <c r="H184" s="13">
        <f>IF(C184="","",IFERROR(VLOOKUP(C184,Inventory!$A$2:$J$501,9,FALSE),0))</f>
        <v/>
      </c>
      <c r="I184" s="13">
        <f>IF(C184="","",ROUND(E184*H184,2))</f>
        <v/>
      </c>
      <c r="J184" s="11" t="n"/>
      <c r="K184" s="11" t="n"/>
      <c r="L184" s="13">
        <f>IF(C184="","",ROUND(G184-I184-J184-K184,2))</f>
        <v/>
      </c>
      <c r="M184" s="10" t="n"/>
      <c r="N184" s="10" t="n"/>
      <c r="O184" s="12">
        <f>IF(C184="","",IFERROR(VLOOKUP(C184,Inventory!$A$2:$B$501,2,FALSE),"Unknown lot"))</f>
        <v/>
      </c>
      <c r="P184" s="12">
        <f>IF(D184="","",IFERROR(VLOOKUP(D184,Clients!$A$2:$B$501,2,FALSE),"Unknown client"))</f>
        <v/>
      </c>
      <c r="Q184" s="12">
        <f>IF(C184="","",IF(COUNTIF(Inventory!$A$2:$A$501,C184)&lt;&gt;1,"Check lot ID",IF(OR(A184="",B184="",E184="",F184=""),"Complete required fields",IF(COUNTIF($B$2:$B$501,B184)&gt;1,"Duplicate sale ID",IF(AND(D184&lt;&gt;"",COUNTIF(Clients!$A$2:$A$501,D184)&lt;&gt;1),"Check client ID",IF(VLOOKUP(C184,Inventory!$A$2:$L$501,12,FALSE)&lt;0,"OVER SOLD","OK"))))))</f>
        <v/>
      </c>
    </row>
    <row r="185" ht="23" customHeight="1">
      <c r="A185" s="18" t="n"/>
      <c r="B185" s="14" t="n"/>
      <c r="C185" s="14" t="n"/>
      <c r="D185" s="14" t="n"/>
      <c r="E185" s="15" t="n"/>
      <c r="F185" s="16" t="n"/>
      <c r="G185" s="13">
        <f>IF(C185="","",ROUND(E185*F185,2))</f>
        <v/>
      </c>
      <c r="H185" s="13">
        <f>IF(C185="","",IFERROR(VLOOKUP(C185,Inventory!$A$2:$J$501,9,FALSE),0))</f>
        <v/>
      </c>
      <c r="I185" s="13">
        <f>IF(C185="","",ROUND(E185*H185,2))</f>
        <v/>
      </c>
      <c r="J185" s="16" t="n"/>
      <c r="K185" s="16" t="n"/>
      <c r="L185" s="13">
        <f>IF(C185="","",ROUND(G185-I185-J185-K185,2))</f>
        <v/>
      </c>
      <c r="M185" s="15" t="n"/>
      <c r="N185" s="15" t="n"/>
      <c r="O185" s="12">
        <f>IF(C185="","",IFERROR(VLOOKUP(C185,Inventory!$A$2:$B$501,2,FALSE),"Unknown lot"))</f>
        <v/>
      </c>
      <c r="P185" s="12">
        <f>IF(D185="","",IFERROR(VLOOKUP(D185,Clients!$A$2:$B$501,2,FALSE),"Unknown client"))</f>
        <v/>
      </c>
      <c r="Q185" s="12">
        <f>IF(C185="","",IF(COUNTIF(Inventory!$A$2:$A$501,C185)&lt;&gt;1,"Check lot ID",IF(OR(A185="",B185="",E185="",F185=""),"Complete required fields",IF(COUNTIF($B$2:$B$501,B185)&gt;1,"Duplicate sale ID",IF(AND(D185&lt;&gt;"",COUNTIF(Clients!$A$2:$A$501,D185)&lt;&gt;1),"Check client ID",IF(VLOOKUP(C185,Inventory!$A$2:$L$501,12,FALSE)&lt;0,"OVER SOLD","OK"))))))</f>
        <v/>
      </c>
    </row>
    <row r="186" ht="23" customHeight="1">
      <c r="A186" s="17" t="n"/>
      <c r="B186" s="9" t="n"/>
      <c r="C186" s="9" t="n"/>
      <c r="D186" s="9" t="n"/>
      <c r="E186" s="10" t="n"/>
      <c r="F186" s="11" t="n"/>
      <c r="G186" s="13">
        <f>IF(C186="","",ROUND(E186*F186,2))</f>
        <v/>
      </c>
      <c r="H186" s="13">
        <f>IF(C186="","",IFERROR(VLOOKUP(C186,Inventory!$A$2:$J$501,9,FALSE),0))</f>
        <v/>
      </c>
      <c r="I186" s="13">
        <f>IF(C186="","",ROUND(E186*H186,2))</f>
        <v/>
      </c>
      <c r="J186" s="11" t="n"/>
      <c r="K186" s="11" t="n"/>
      <c r="L186" s="13">
        <f>IF(C186="","",ROUND(G186-I186-J186-K186,2))</f>
        <v/>
      </c>
      <c r="M186" s="10" t="n"/>
      <c r="N186" s="10" t="n"/>
      <c r="O186" s="12">
        <f>IF(C186="","",IFERROR(VLOOKUP(C186,Inventory!$A$2:$B$501,2,FALSE),"Unknown lot"))</f>
        <v/>
      </c>
      <c r="P186" s="12">
        <f>IF(D186="","",IFERROR(VLOOKUP(D186,Clients!$A$2:$B$501,2,FALSE),"Unknown client"))</f>
        <v/>
      </c>
      <c r="Q186" s="12">
        <f>IF(C186="","",IF(COUNTIF(Inventory!$A$2:$A$501,C186)&lt;&gt;1,"Check lot ID",IF(OR(A186="",B186="",E186="",F186=""),"Complete required fields",IF(COUNTIF($B$2:$B$501,B186)&gt;1,"Duplicate sale ID",IF(AND(D186&lt;&gt;"",COUNTIF(Clients!$A$2:$A$501,D186)&lt;&gt;1),"Check client ID",IF(VLOOKUP(C186,Inventory!$A$2:$L$501,12,FALSE)&lt;0,"OVER SOLD","OK"))))))</f>
        <v/>
      </c>
    </row>
    <row r="187" ht="23" customHeight="1">
      <c r="A187" s="18" t="n"/>
      <c r="B187" s="14" t="n"/>
      <c r="C187" s="14" t="n"/>
      <c r="D187" s="14" t="n"/>
      <c r="E187" s="15" t="n"/>
      <c r="F187" s="16" t="n"/>
      <c r="G187" s="13">
        <f>IF(C187="","",ROUND(E187*F187,2))</f>
        <v/>
      </c>
      <c r="H187" s="13">
        <f>IF(C187="","",IFERROR(VLOOKUP(C187,Inventory!$A$2:$J$501,9,FALSE),0))</f>
        <v/>
      </c>
      <c r="I187" s="13">
        <f>IF(C187="","",ROUND(E187*H187,2))</f>
        <v/>
      </c>
      <c r="J187" s="16" t="n"/>
      <c r="K187" s="16" t="n"/>
      <c r="L187" s="13">
        <f>IF(C187="","",ROUND(G187-I187-J187-K187,2))</f>
        <v/>
      </c>
      <c r="M187" s="15" t="n"/>
      <c r="N187" s="15" t="n"/>
      <c r="O187" s="12">
        <f>IF(C187="","",IFERROR(VLOOKUP(C187,Inventory!$A$2:$B$501,2,FALSE),"Unknown lot"))</f>
        <v/>
      </c>
      <c r="P187" s="12">
        <f>IF(D187="","",IFERROR(VLOOKUP(D187,Clients!$A$2:$B$501,2,FALSE),"Unknown client"))</f>
        <v/>
      </c>
      <c r="Q187" s="12">
        <f>IF(C187="","",IF(COUNTIF(Inventory!$A$2:$A$501,C187)&lt;&gt;1,"Check lot ID",IF(OR(A187="",B187="",E187="",F187=""),"Complete required fields",IF(COUNTIF($B$2:$B$501,B187)&gt;1,"Duplicate sale ID",IF(AND(D187&lt;&gt;"",COUNTIF(Clients!$A$2:$A$501,D187)&lt;&gt;1),"Check client ID",IF(VLOOKUP(C187,Inventory!$A$2:$L$501,12,FALSE)&lt;0,"OVER SOLD","OK"))))))</f>
        <v/>
      </c>
    </row>
    <row r="188" ht="23" customHeight="1">
      <c r="A188" s="17" t="n"/>
      <c r="B188" s="9" t="n"/>
      <c r="C188" s="9" t="n"/>
      <c r="D188" s="9" t="n"/>
      <c r="E188" s="10" t="n"/>
      <c r="F188" s="11" t="n"/>
      <c r="G188" s="13">
        <f>IF(C188="","",ROUND(E188*F188,2))</f>
        <v/>
      </c>
      <c r="H188" s="13">
        <f>IF(C188="","",IFERROR(VLOOKUP(C188,Inventory!$A$2:$J$501,9,FALSE),0))</f>
        <v/>
      </c>
      <c r="I188" s="13">
        <f>IF(C188="","",ROUND(E188*H188,2))</f>
        <v/>
      </c>
      <c r="J188" s="11" t="n"/>
      <c r="K188" s="11" t="n"/>
      <c r="L188" s="13">
        <f>IF(C188="","",ROUND(G188-I188-J188-K188,2))</f>
        <v/>
      </c>
      <c r="M188" s="10" t="n"/>
      <c r="N188" s="10" t="n"/>
      <c r="O188" s="12">
        <f>IF(C188="","",IFERROR(VLOOKUP(C188,Inventory!$A$2:$B$501,2,FALSE),"Unknown lot"))</f>
        <v/>
      </c>
      <c r="P188" s="12">
        <f>IF(D188="","",IFERROR(VLOOKUP(D188,Clients!$A$2:$B$501,2,FALSE),"Unknown client"))</f>
        <v/>
      </c>
      <c r="Q188" s="12">
        <f>IF(C188="","",IF(COUNTIF(Inventory!$A$2:$A$501,C188)&lt;&gt;1,"Check lot ID",IF(OR(A188="",B188="",E188="",F188=""),"Complete required fields",IF(COUNTIF($B$2:$B$501,B188)&gt;1,"Duplicate sale ID",IF(AND(D188&lt;&gt;"",COUNTIF(Clients!$A$2:$A$501,D188)&lt;&gt;1),"Check client ID",IF(VLOOKUP(C188,Inventory!$A$2:$L$501,12,FALSE)&lt;0,"OVER SOLD","OK"))))))</f>
        <v/>
      </c>
    </row>
    <row r="189" ht="23" customHeight="1">
      <c r="A189" s="18" t="n"/>
      <c r="B189" s="14" t="n"/>
      <c r="C189" s="14" t="n"/>
      <c r="D189" s="14" t="n"/>
      <c r="E189" s="15" t="n"/>
      <c r="F189" s="16" t="n"/>
      <c r="G189" s="13">
        <f>IF(C189="","",ROUND(E189*F189,2))</f>
        <v/>
      </c>
      <c r="H189" s="13">
        <f>IF(C189="","",IFERROR(VLOOKUP(C189,Inventory!$A$2:$J$501,9,FALSE),0))</f>
        <v/>
      </c>
      <c r="I189" s="13">
        <f>IF(C189="","",ROUND(E189*H189,2))</f>
        <v/>
      </c>
      <c r="J189" s="16" t="n"/>
      <c r="K189" s="16" t="n"/>
      <c r="L189" s="13">
        <f>IF(C189="","",ROUND(G189-I189-J189-K189,2))</f>
        <v/>
      </c>
      <c r="M189" s="15" t="n"/>
      <c r="N189" s="15" t="n"/>
      <c r="O189" s="12">
        <f>IF(C189="","",IFERROR(VLOOKUP(C189,Inventory!$A$2:$B$501,2,FALSE),"Unknown lot"))</f>
        <v/>
      </c>
      <c r="P189" s="12">
        <f>IF(D189="","",IFERROR(VLOOKUP(D189,Clients!$A$2:$B$501,2,FALSE),"Unknown client"))</f>
        <v/>
      </c>
      <c r="Q189" s="12">
        <f>IF(C189="","",IF(COUNTIF(Inventory!$A$2:$A$501,C189)&lt;&gt;1,"Check lot ID",IF(OR(A189="",B189="",E189="",F189=""),"Complete required fields",IF(COUNTIF($B$2:$B$501,B189)&gt;1,"Duplicate sale ID",IF(AND(D189&lt;&gt;"",COUNTIF(Clients!$A$2:$A$501,D189)&lt;&gt;1),"Check client ID",IF(VLOOKUP(C189,Inventory!$A$2:$L$501,12,FALSE)&lt;0,"OVER SOLD","OK"))))))</f>
        <v/>
      </c>
    </row>
    <row r="190" ht="23" customHeight="1">
      <c r="A190" s="17" t="n"/>
      <c r="B190" s="9" t="n"/>
      <c r="C190" s="9" t="n"/>
      <c r="D190" s="9" t="n"/>
      <c r="E190" s="10" t="n"/>
      <c r="F190" s="11" t="n"/>
      <c r="G190" s="13">
        <f>IF(C190="","",ROUND(E190*F190,2))</f>
        <v/>
      </c>
      <c r="H190" s="13">
        <f>IF(C190="","",IFERROR(VLOOKUP(C190,Inventory!$A$2:$J$501,9,FALSE),0))</f>
        <v/>
      </c>
      <c r="I190" s="13">
        <f>IF(C190="","",ROUND(E190*H190,2))</f>
        <v/>
      </c>
      <c r="J190" s="11" t="n"/>
      <c r="K190" s="11" t="n"/>
      <c r="L190" s="13">
        <f>IF(C190="","",ROUND(G190-I190-J190-K190,2))</f>
        <v/>
      </c>
      <c r="M190" s="10" t="n"/>
      <c r="N190" s="10" t="n"/>
      <c r="O190" s="12">
        <f>IF(C190="","",IFERROR(VLOOKUP(C190,Inventory!$A$2:$B$501,2,FALSE),"Unknown lot"))</f>
        <v/>
      </c>
      <c r="P190" s="12">
        <f>IF(D190="","",IFERROR(VLOOKUP(D190,Clients!$A$2:$B$501,2,FALSE),"Unknown client"))</f>
        <v/>
      </c>
      <c r="Q190" s="12">
        <f>IF(C190="","",IF(COUNTIF(Inventory!$A$2:$A$501,C190)&lt;&gt;1,"Check lot ID",IF(OR(A190="",B190="",E190="",F190=""),"Complete required fields",IF(COUNTIF($B$2:$B$501,B190)&gt;1,"Duplicate sale ID",IF(AND(D190&lt;&gt;"",COUNTIF(Clients!$A$2:$A$501,D190)&lt;&gt;1),"Check client ID",IF(VLOOKUP(C190,Inventory!$A$2:$L$501,12,FALSE)&lt;0,"OVER SOLD","OK"))))))</f>
        <v/>
      </c>
    </row>
    <row r="191" ht="23" customHeight="1">
      <c r="A191" s="18" t="n"/>
      <c r="B191" s="14" t="n"/>
      <c r="C191" s="14" t="n"/>
      <c r="D191" s="14" t="n"/>
      <c r="E191" s="15" t="n"/>
      <c r="F191" s="16" t="n"/>
      <c r="G191" s="13">
        <f>IF(C191="","",ROUND(E191*F191,2))</f>
        <v/>
      </c>
      <c r="H191" s="13">
        <f>IF(C191="","",IFERROR(VLOOKUP(C191,Inventory!$A$2:$J$501,9,FALSE),0))</f>
        <v/>
      </c>
      <c r="I191" s="13">
        <f>IF(C191="","",ROUND(E191*H191,2))</f>
        <v/>
      </c>
      <c r="J191" s="16" t="n"/>
      <c r="K191" s="16" t="n"/>
      <c r="L191" s="13">
        <f>IF(C191="","",ROUND(G191-I191-J191-K191,2))</f>
        <v/>
      </c>
      <c r="M191" s="15" t="n"/>
      <c r="N191" s="15" t="n"/>
      <c r="O191" s="12">
        <f>IF(C191="","",IFERROR(VLOOKUP(C191,Inventory!$A$2:$B$501,2,FALSE),"Unknown lot"))</f>
        <v/>
      </c>
      <c r="P191" s="12">
        <f>IF(D191="","",IFERROR(VLOOKUP(D191,Clients!$A$2:$B$501,2,FALSE),"Unknown client"))</f>
        <v/>
      </c>
      <c r="Q191" s="12">
        <f>IF(C191="","",IF(COUNTIF(Inventory!$A$2:$A$501,C191)&lt;&gt;1,"Check lot ID",IF(OR(A191="",B191="",E191="",F191=""),"Complete required fields",IF(COUNTIF($B$2:$B$501,B191)&gt;1,"Duplicate sale ID",IF(AND(D191&lt;&gt;"",COUNTIF(Clients!$A$2:$A$501,D191)&lt;&gt;1),"Check client ID",IF(VLOOKUP(C191,Inventory!$A$2:$L$501,12,FALSE)&lt;0,"OVER SOLD","OK"))))))</f>
        <v/>
      </c>
    </row>
    <row r="192" ht="23" customHeight="1">
      <c r="A192" s="17" t="n"/>
      <c r="B192" s="9" t="n"/>
      <c r="C192" s="9" t="n"/>
      <c r="D192" s="9" t="n"/>
      <c r="E192" s="10" t="n"/>
      <c r="F192" s="11" t="n"/>
      <c r="G192" s="13">
        <f>IF(C192="","",ROUND(E192*F192,2))</f>
        <v/>
      </c>
      <c r="H192" s="13">
        <f>IF(C192="","",IFERROR(VLOOKUP(C192,Inventory!$A$2:$J$501,9,FALSE),0))</f>
        <v/>
      </c>
      <c r="I192" s="13">
        <f>IF(C192="","",ROUND(E192*H192,2))</f>
        <v/>
      </c>
      <c r="J192" s="11" t="n"/>
      <c r="K192" s="11" t="n"/>
      <c r="L192" s="13">
        <f>IF(C192="","",ROUND(G192-I192-J192-K192,2))</f>
        <v/>
      </c>
      <c r="M192" s="10" t="n"/>
      <c r="N192" s="10" t="n"/>
      <c r="O192" s="12">
        <f>IF(C192="","",IFERROR(VLOOKUP(C192,Inventory!$A$2:$B$501,2,FALSE),"Unknown lot"))</f>
        <v/>
      </c>
      <c r="P192" s="12">
        <f>IF(D192="","",IFERROR(VLOOKUP(D192,Clients!$A$2:$B$501,2,FALSE),"Unknown client"))</f>
        <v/>
      </c>
      <c r="Q192" s="12">
        <f>IF(C192="","",IF(COUNTIF(Inventory!$A$2:$A$501,C192)&lt;&gt;1,"Check lot ID",IF(OR(A192="",B192="",E192="",F192=""),"Complete required fields",IF(COUNTIF($B$2:$B$501,B192)&gt;1,"Duplicate sale ID",IF(AND(D192&lt;&gt;"",COUNTIF(Clients!$A$2:$A$501,D192)&lt;&gt;1),"Check client ID",IF(VLOOKUP(C192,Inventory!$A$2:$L$501,12,FALSE)&lt;0,"OVER SOLD","OK"))))))</f>
        <v/>
      </c>
    </row>
    <row r="193" ht="23" customHeight="1">
      <c r="A193" s="18" t="n"/>
      <c r="B193" s="14" t="n"/>
      <c r="C193" s="14" t="n"/>
      <c r="D193" s="14" t="n"/>
      <c r="E193" s="15" t="n"/>
      <c r="F193" s="16" t="n"/>
      <c r="G193" s="13">
        <f>IF(C193="","",ROUND(E193*F193,2))</f>
        <v/>
      </c>
      <c r="H193" s="13">
        <f>IF(C193="","",IFERROR(VLOOKUP(C193,Inventory!$A$2:$J$501,9,FALSE),0))</f>
        <v/>
      </c>
      <c r="I193" s="13">
        <f>IF(C193="","",ROUND(E193*H193,2))</f>
        <v/>
      </c>
      <c r="J193" s="16" t="n"/>
      <c r="K193" s="16" t="n"/>
      <c r="L193" s="13">
        <f>IF(C193="","",ROUND(G193-I193-J193-K193,2))</f>
        <v/>
      </c>
      <c r="M193" s="15" t="n"/>
      <c r="N193" s="15" t="n"/>
      <c r="O193" s="12">
        <f>IF(C193="","",IFERROR(VLOOKUP(C193,Inventory!$A$2:$B$501,2,FALSE),"Unknown lot"))</f>
        <v/>
      </c>
      <c r="P193" s="12">
        <f>IF(D193="","",IFERROR(VLOOKUP(D193,Clients!$A$2:$B$501,2,FALSE),"Unknown client"))</f>
        <v/>
      </c>
      <c r="Q193" s="12">
        <f>IF(C193="","",IF(COUNTIF(Inventory!$A$2:$A$501,C193)&lt;&gt;1,"Check lot ID",IF(OR(A193="",B193="",E193="",F193=""),"Complete required fields",IF(COUNTIF($B$2:$B$501,B193)&gt;1,"Duplicate sale ID",IF(AND(D193&lt;&gt;"",COUNTIF(Clients!$A$2:$A$501,D193)&lt;&gt;1),"Check client ID",IF(VLOOKUP(C193,Inventory!$A$2:$L$501,12,FALSE)&lt;0,"OVER SOLD","OK"))))))</f>
        <v/>
      </c>
    </row>
    <row r="194" ht="23" customHeight="1">
      <c r="A194" s="17" t="n"/>
      <c r="B194" s="9" t="n"/>
      <c r="C194" s="9" t="n"/>
      <c r="D194" s="9" t="n"/>
      <c r="E194" s="10" t="n"/>
      <c r="F194" s="11" t="n"/>
      <c r="G194" s="13">
        <f>IF(C194="","",ROUND(E194*F194,2))</f>
        <v/>
      </c>
      <c r="H194" s="13">
        <f>IF(C194="","",IFERROR(VLOOKUP(C194,Inventory!$A$2:$J$501,9,FALSE),0))</f>
        <v/>
      </c>
      <c r="I194" s="13">
        <f>IF(C194="","",ROUND(E194*H194,2))</f>
        <v/>
      </c>
      <c r="J194" s="11" t="n"/>
      <c r="K194" s="11" t="n"/>
      <c r="L194" s="13">
        <f>IF(C194="","",ROUND(G194-I194-J194-K194,2))</f>
        <v/>
      </c>
      <c r="M194" s="10" t="n"/>
      <c r="N194" s="10" t="n"/>
      <c r="O194" s="12">
        <f>IF(C194="","",IFERROR(VLOOKUP(C194,Inventory!$A$2:$B$501,2,FALSE),"Unknown lot"))</f>
        <v/>
      </c>
      <c r="P194" s="12">
        <f>IF(D194="","",IFERROR(VLOOKUP(D194,Clients!$A$2:$B$501,2,FALSE),"Unknown client"))</f>
        <v/>
      </c>
      <c r="Q194" s="12">
        <f>IF(C194="","",IF(COUNTIF(Inventory!$A$2:$A$501,C194)&lt;&gt;1,"Check lot ID",IF(OR(A194="",B194="",E194="",F194=""),"Complete required fields",IF(COUNTIF($B$2:$B$501,B194)&gt;1,"Duplicate sale ID",IF(AND(D194&lt;&gt;"",COUNTIF(Clients!$A$2:$A$501,D194)&lt;&gt;1),"Check client ID",IF(VLOOKUP(C194,Inventory!$A$2:$L$501,12,FALSE)&lt;0,"OVER SOLD","OK"))))))</f>
        <v/>
      </c>
    </row>
    <row r="195" ht="23" customHeight="1">
      <c r="A195" s="18" t="n"/>
      <c r="B195" s="14" t="n"/>
      <c r="C195" s="14" t="n"/>
      <c r="D195" s="14" t="n"/>
      <c r="E195" s="15" t="n"/>
      <c r="F195" s="16" t="n"/>
      <c r="G195" s="13">
        <f>IF(C195="","",ROUND(E195*F195,2))</f>
        <v/>
      </c>
      <c r="H195" s="13">
        <f>IF(C195="","",IFERROR(VLOOKUP(C195,Inventory!$A$2:$J$501,9,FALSE),0))</f>
        <v/>
      </c>
      <c r="I195" s="13">
        <f>IF(C195="","",ROUND(E195*H195,2))</f>
        <v/>
      </c>
      <c r="J195" s="16" t="n"/>
      <c r="K195" s="16" t="n"/>
      <c r="L195" s="13">
        <f>IF(C195="","",ROUND(G195-I195-J195-K195,2))</f>
        <v/>
      </c>
      <c r="M195" s="15" t="n"/>
      <c r="N195" s="15" t="n"/>
      <c r="O195" s="12">
        <f>IF(C195="","",IFERROR(VLOOKUP(C195,Inventory!$A$2:$B$501,2,FALSE),"Unknown lot"))</f>
        <v/>
      </c>
      <c r="P195" s="12">
        <f>IF(D195="","",IFERROR(VLOOKUP(D195,Clients!$A$2:$B$501,2,FALSE),"Unknown client"))</f>
        <v/>
      </c>
      <c r="Q195" s="12">
        <f>IF(C195="","",IF(COUNTIF(Inventory!$A$2:$A$501,C195)&lt;&gt;1,"Check lot ID",IF(OR(A195="",B195="",E195="",F195=""),"Complete required fields",IF(COUNTIF($B$2:$B$501,B195)&gt;1,"Duplicate sale ID",IF(AND(D195&lt;&gt;"",COUNTIF(Clients!$A$2:$A$501,D195)&lt;&gt;1),"Check client ID",IF(VLOOKUP(C195,Inventory!$A$2:$L$501,12,FALSE)&lt;0,"OVER SOLD","OK"))))))</f>
        <v/>
      </c>
    </row>
    <row r="196" ht="23" customHeight="1">
      <c r="A196" s="17" t="n"/>
      <c r="B196" s="9" t="n"/>
      <c r="C196" s="9" t="n"/>
      <c r="D196" s="9" t="n"/>
      <c r="E196" s="10" t="n"/>
      <c r="F196" s="11" t="n"/>
      <c r="G196" s="13">
        <f>IF(C196="","",ROUND(E196*F196,2))</f>
        <v/>
      </c>
      <c r="H196" s="13">
        <f>IF(C196="","",IFERROR(VLOOKUP(C196,Inventory!$A$2:$J$501,9,FALSE),0))</f>
        <v/>
      </c>
      <c r="I196" s="13">
        <f>IF(C196="","",ROUND(E196*H196,2))</f>
        <v/>
      </c>
      <c r="J196" s="11" t="n"/>
      <c r="K196" s="11" t="n"/>
      <c r="L196" s="13">
        <f>IF(C196="","",ROUND(G196-I196-J196-K196,2))</f>
        <v/>
      </c>
      <c r="M196" s="10" t="n"/>
      <c r="N196" s="10" t="n"/>
      <c r="O196" s="12">
        <f>IF(C196="","",IFERROR(VLOOKUP(C196,Inventory!$A$2:$B$501,2,FALSE),"Unknown lot"))</f>
        <v/>
      </c>
      <c r="P196" s="12">
        <f>IF(D196="","",IFERROR(VLOOKUP(D196,Clients!$A$2:$B$501,2,FALSE),"Unknown client"))</f>
        <v/>
      </c>
      <c r="Q196" s="12">
        <f>IF(C196="","",IF(COUNTIF(Inventory!$A$2:$A$501,C196)&lt;&gt;1,"Check lot ID",IF(OR(A196="",B196="",E196="",F196=""),"Complete required fields",IF(COUNTIF($B$2:$B$501,B196)&gt;1,"Duplicate sale ID",IF(AND(D196&lt;&gt;"",COUNTIF(Clients!$A$2:$A$501,D196)&lt;&gt;1),"Check client ID",IF(VLOOKUP(C196,Inventory!$A$2:$L$501,12,FALSE)&lt;0,"OVER SOLD","OK"))))))</f>
        <v/>
      </c>
    </row>
    <row r="197" ht="23" customHeight="1">
      <c r="A197" s="18" t="n"/>
      <c r="B197" s="14" t="n"/>
      <c r="C197" s="14" t="n"/>
      <c r="D197" s="14" t="n"/>
      <c r="E197" s="15" t="n"/>
      <c r="F197" s="16" t="n"/>
      <c r="G197" s="13">
        <f>IF(C197="","",ROUND(E197*F197,2))</f>
        <v/>
      </c>
      <c r="H197" s="13">
        <f>IF(C197="","",IFERROR(VLOOKUP(C197,Inventory!$A$2:$J$501,9,FALSE),0))</f>
        <v/>
      </c>
      <c r="I197" s="13">
        <f>IF(C197="","",ROUND(E197*H197,2))</f>
        <v/>
      </c>
      <c r="J197" s="16" t="n"/>
      <c r="K197" s="16" t="n"/>
      <c r="L197" s="13">
        <f>IF(C197="","",ROUND(G197-I197-J197-K197,2))</f>
        <v/>
      </c>
      <c r="M197" s="15" t="n"/>
      <c r="N197" s="15" t="n"/>
      <c r="O197" s="12">
        <f>IF(C197="","",IFERROR(VLOOKUP(C197,Inventory!$A$2:$B$501,2,FALSE),"Unknown lot"))</f>
        <v/>
      </c>
      <c r="P197" s="12">
        <f>IF(D197="","",IFERROR(VLOOKUP(D197,Clients!$A$2:$B$501,2,FALSE),"Unknown client"))</f>
        <v/>
      </c>
      <c r="Q197" s="12">
        <f>IF(C197="","",IF(COUNTIF(Inventory!$A$2:$A$501,C197)&lt;&gt;1,"Check lot ID",IF(OR(A197="",B197="",E197="",F197=""),"Complete required fields",IF(COUNTIF($B$2:$B$501,B197)&gt;1,"Duplicate sale ID",IF(AND(D197&lt;&gt;"",COUNTIF(Clients!$A$2:$A$501,D197)&lt;&gt;1),"Check client ID",IF(VLOOKUP(C197,Inventory!$A$2:$L$501,12,FALSE)&lt;0,"OVER SOLD","OK"))))))</f>
        <v/>
      </c>
    </row>
    <row r="198" ht="23" customHeight="1">
      <c r="A198" s="17" t="n"/>
      <c r="B198" s="9" t="n"/>
      <c r="C198" s="9" t="n"/>
      <c r="D198" s="9" t="n"/>
      <c r="E198" s="10" t="n"/>
      <c r="F198" s="11" t="n"/>
      <c r="G198" s="13">
        <f>IF(C198="","",ROUND(E198*F198,2))</f>
        <v/>
      </c>
      <c r="H198" s="13">
        <f>IF(C198="","",IFERROR(VLOOKUP(C198,Inventory!$A$2:$J$501,9,FALSE),0))</f>
        <v/>
      </c>
      <c r="I198" s="13">
        <f>IF(C198="","",ROUND(E198*H198,2))</f>
        <v/>
      </c>
      <c r="J198" s="11" t="n"/>
      <c r="K198" s="11" t="n"/>
      <c r="L198" s="13">
        <f>IF(C198="","",ROUND(G198-I198-J198-K198,2))</f>
        <v/>
      </c>
      <c r="M198" s="10" t="n"/>
      <c r="N198" s="10" t="n"/>
      <c r="O198" s="12">
        <f>IF(C198="","",IFERROR(VLOOKUP(C198,Inventory!$A$2:$B$501,2,FALSE),"Unknown lot"))</f>
        <v/>
      </c>
      <c r="P198" s="12">
        <f>IF(D198="","",IFERROR(VLOOKUP(D198,Clients!$A$2:$B$501,2,FALSE),"Unknown client"))</f>
        <v/>
      </c>
      <c r="Q198" s="12">
        <f>IF(C198="","",IF(COUNTIF(Inventory!$A$2:$A$501,C198)&lt;&gt;1,"Check lot ID",IF(OR(A198="",B198="",E198="",F198=""),"Complete required fields",IF(COUNTIF($B$2:$B$501,B198)&gt;1,"Duplicate sale ID",IF(AND(D198&lt;&gt;"",COUNTIF(Clients!$A$2:$A$501,D198)&lt;&gt;1),"Check client ID",IF(VLOOKUP(C198,Inventory!$A$2:$L$501,12,FALSE)&lt;0,"OVER SOLD","OK"))))))</f>
        <v/>
      </c>
    </row>
    <row r="199" ht="23" customHeight="1">
      <c r="A199" s="18" t="n"/>
      <c r="B199" s="14" t="n"/>
      <c r="C199" s="14" t="n"/>
      <c r="D199" s="14" t="n"/>
      <c r="E199" s="15" t="n"/>
      <c r="F199" s="16" t="n"/>
      <c r="G199" s="13">
        <f>IF(C199="","",ROUND(E199*F199,2))</f>
        <v/>
      </c>
      <c r="H199" s="13">
        <f>IF(C199="","",IFERROR(VLOOKUP(C199,Inventory!$A$2:$J$501,9,FALSE),0))</f>
        <v/>
      </c>
      <c r="I199" s="13">
        <f>IF(C199="","",ROUND(E199*H199,2))</f>
        <v/>
      </c>
      <c r="J199" s="16" t="n"/>
      <c r="K199" s="16" t="n"/>
      <c r="L199" s="13">
        <f>IF(C199="","",ROUND(G199-I199-J199-K199,2))</f>
        <v/>
      </c>
      <c r="M199" s="15" t="n"/>
      <c r="N199" s="15" t="n"/>
      <c r="O199" s="12">
        <f>IF(C199="","",IFERROR(VLOOKUP(C199,Inventory!$A$2:$B$501,2,FALSE),"Unknown lot"))</f>
        <v/>
      </c>
      <c r="P199" s="12">
        <f>IF(D199="","",IFERROR(VLOOKUP(D199,Clients!$A$2:$B$501,2,FALSE),"Unknown client"))</f>
        <v/>
      </c>
      <c r="Q199" s="12">
        <f>IF(C199="","",IF(COUNTIF(Inventory!$A$2:$A$501,C199)&lt;&gt;1,"Check lot ID",IF(OR(A199="",B199="",E199="",F199=""),"Complete required fields",IF(COUNTIF($B$2:$B$501,B199)&gt;1,"Duplicate sale ID",IF(AND(D199&lt;&gt;"",COUNTIF(Clients!$A$2:$A$501,D199)&lt;&gt;1),"Check client ID",IF(VLOOKUP(C199,Inventory!$A$2:$L$501,12,FALSE)&lt;0,"OVER SOLD","OK"))))))</f>
        <v/>
      </c>
    </row>
    <row r="200" ht="23" customHeight="1">
      <c r="A200" s="17" t="n"/>
      <c r="B200" s="9" t="n"/>
      <c r="C200" s="9" t="n"/>
      <c r="D200" s="9" t="n"/>
      <c r="E200" s="10" t="n"/>
      <c r="F200" s="11" t="n"/>
      <c r="G200" s="13">
        <f>IF(C200="","",ROUND(E200*F200,2))</f>
        <v/>
      </c>
      <c r="H200" s="13">
        <f>IF(C200="","",IFERROR(VLOOKUP(C200,Inventory!$A$2:$J$501,9,FALSE),0))</f>
        <v/>
      </c>
      <c r="I200" s="13">
        <f>IF(C200="","",ROUND(E200*H200,2))</f>
        <v/>
      </c>
      <c r="J200" s="11" t="n"/>
      <c r="K200" s="11" t="n"/>
      <c r="L200" s="13">
        <f>IF(C200="","",ROUND(G200-I200-J200-K200,2))</f>
        <v/>
      </c>
      <c r="M200" s="10" t="n"/>
      <c r="N200" s="10" t="n"/>
      <c r="O200" s="12">
        <f>IF(C200="","",IFERROR(VLOOKUP(C200,Inventory!$A$2:$B$501,2,FALSE),"Unknown lot"))</f>
        <v/>
      </c>
      <c r="P200" s="12">
        <f>IF(D200="","",IFERROR(VLOOKUP(D200,Clients!$A$2:$B$501,2,FALSE),"Unknown client"))</f>
        <v/>
      </c>
      <c r="Q200" s="12">
        <f>IF(C200="","",IF(COUNTIF(Inventory!$A$2:$A$501,C200)&lt;&gt;1,"Check lot ID",IF(OR(A200="",B200="",E200="",F200=""),"Complete required fields",IF(COUNTIF($B$2:$B$501,B200)&gt;1,"Duplicate sale ID",IF(AND(D200&lt;&gt;"",COUNTIF(Clients!$A$2:$A$501,D200)&lt;&gt;1),"Check client ID",IF(VLOOKUP(C200,Inventory!$A$2:$L$501,12,FALSE)&lt;0,"OVER SOLD","OK"))))))</f>
        <v/>
      </c>
    </row>
    <row r="201" ht="23" customHeight="1">
      <c r="A201" s="18" t="n"/>
      <c r="B201" s="14" t="n"/>
      <c r="C201" s="14" t="n"/>
      <c r="D201" s="14" t="n"/>
      <c r="E201" s="15" t="n"/>
      <c r="F201" s="16" t="n"/>
      <c r="G201" s="13">
        <f>IF(C201="","",ROUND(E201*F201,2))</f>
        <v/>
      </c>
      <c r="H201" s="13">
        <f>IF(C201="","",IFERROR(VLOOKUP(C201,Inventory!$A$2:$J$501,9,FALSE),0))</f>
        <v/>
      </c>
      <c r="I201" s="13">
        <f>IF(C201="","",ROUND(E201*H201,2))</f>
        <v/>
      </c>
      <c r="J201" s="16" t="n"/>
      <c r="K201" s="16" t="n"/>
      <c r="L201" s="13">
        <f>IF(C201="","",ROUND(G201-I201-J201-K201,2))</f>
        <v/>
      </c>
      <c r="M201" s="15" t="n"/>
      <c r="N201" s="15" t="n"/>
      <c r="O201" s="12">
        <f>IF(C201="","",IFERROR(VLOOKUP(C201,Inventory!$A$2:$B$501,2,FALSE),"Unknown lot"))</f>
        <v/>
      </c>
      <c r="P201" s="12">
        <f>IF(D201="","",IFERROR(VLOOKUP(D201,Clients!$A$2:$B$501,2,FALSE),"Unknown client"))</f>
        <v/>
      </c>
      <c r="Q201" s="12">
        <f>IF(C201="","",IF(COUNTIF(Inventory!$A$2:$A$501,C201)&lt;&gt;1,"Check lot ID",IF(OR(A201="",B201="",E201="",F201=""),"Complete required fields",IF(COUNTIF($B$2:$B$501,B201)&gt;1,"Duplicate sale ID",IF(AND(D201&lt;&gt;"",COUNTIF(Clients!$A$2:$A$501,D201)&lt;&gt;1),"Check client ID",IF(VLOOKUP(C201,Inventory!$A$2:$L$501,12,FALSE)&lt;0,"OVER SOLD","OK"))))))</f>
        <v/>
      </c>
    </row>
    <row r="202" ht="23" customHeight="1">
      <c r="A202" s="17" t="n"/>
      <c r="B202" s="9" t="n"/>
      <c r="C202" s="9" t="n"/>
      <c r="D202" s="9" t="n"/>
      <c r="E202" s="10" t="n"/>
      <c r="F202" s="11" t="n"/>
      <c r="G202" s="13">
        <f>IF(C202="","",ROUND(E202*F202,2))</f>
        <v/>
      </c>
      <c r="H202" s="13">
        <f>IF(C202="","",IFERROR(VLOOKUP(C202,Inventory!$A$2:$J$501,9,FALSE),0))</f>
        <v/>
      </c>
      <c r="I202" s="13">
        <f>IF(C202="","",ROUND(E202*H202,2))</f>
        <v/>
      </c>
      <c r="J202" s="11" t="n"/>
      <c r="K202" s="11" t="n"/>
      <c r="L202" s="13">
        <f>IF(C202="","",ROUND(G202-I202-J202-K202,2))</f>
        <v/>
      </c>
      <c r="M202" s="10" t="n"/>
      <c r="N202" s="10" t="n"/>
      <c r="O202" s="12">
        <f>IF(C202="","",IFERROR(VLOOKUP(C202,Inventory!$A$2:$B$501,2,FALSE),"Unknown lot"))</f>
        <v/>
      </c>
      <c r="P202" s="12">
        <f>IF(D202="","",IFERROR(VLOOKUP(D202,Clients!$A$2:$B$501,2,FALSE),"Unknown client"))</f>
        <v/>
      </c>
      <c r="Q202" s="12">
        <f>IF(C202="","",IF(COUNTIF(Inventory!$A$2:$A$501,C202)&lt;&gt;1,"Check lot ID",IF(OR(A202="",B202="",E202="",F202=""),"Complete required fields",IF(COUNTIF($B$2:$B$501,B202)&gt;1,"Duplicate sale ID",IF(AND(D202&lt;&gt;"",COUNTIF(Clients!$A$2:$A$501,D202)&lt;&gt;1),"Check client ID",IF(VLOOKUP(C202,Inventory!$A$2:$L$501,12,FALSE)&lt;0,"OVER SOLD","OK"))))))</f>
        <v/>
      </c>
    </row>
    <row r="203" ht="23" customHeight="1">
      <c r="A203" s="18" t="n"/>
      <c r="B203" s="14" t="n"/>
      <c r="C203" s="14" t="n"/>
      <c r="D203" s="14" t="n"/>
      <c r="E203" s="15" t="n"/>
      <c r="F203" s="16" t="n"/>
      <c r="G203" s="13">
        <f>IF(C203="","",ROUND(E203*F203,2))</f>
        <v/>
      </c>
      <c r="H203" s="13">
        <f>IF(C203="","",IFERROR(VLOOKUP(C203,Inventory!$A$2:$J$501,9,FALSE),0))</f>
        <v/>
      </c>
      <c r="I203" s="13">
        <f>IF(C203="","",ROUND(E203*H203,2))</f>
        <v/>
      </c>
      <c r="J203" s="16" t="n"/>
      <c r="K203" s="16" t="n"/>
      <c r="L203" s="13">
        <f>IF(C203="","",ROUND(G203-I203-J203-K203,2))</f>
        <v/>
      </c>
      <c r="M203" s="15" t="n"/>
      <c r="N203" s="15" t="n"/>
      <c r="O203" s="12">
        <f>IF(C203="","",IFERROR(VLOOKUP(C203,Inventory!$A$2:$B$501,2,FALSE),"Unknown lot"))</f>
        <v/>
      </c>
      <c r="P203" s="12">
        <f>IF(D203="","",IFERROR(VLOOKUP(D203,Clients!$A$2:$B$501,2,FALSE),"Unknown client"))</f>
        <v/>
      </c>
      <c r="Q203" s="12">
        <f>IF(C203="","",IF(COUNTIF(Inventory!$A$2:$A$501,C203)&lt;&gt;1,"Check lot ID",IF(OR(A203="",B203="",E203="",F203=""),"Complete required fields",IF(COUNTIF($B$2:$B$501,B203)&gt;1,"Duplicate sale ID",IF(AND(D203&lt;&gt;"",COUNTIF(Clients!$A$2:$A$501,D203)&lt;&gt;1),"Check client ID",IF(VLOOKUP(C203,Inventory!$A$2:$L$501,12,FALSE)&lt;0,"OVER SOLD","OK"))))))</f>
        <v/>
      </c>
    </row>
    <row r="204" ht="23" customHeight="1">
      <c r="A204" s="17" t="n"/>
      <c r="B204" s="9" t="n"/>
      <c r="C204" s="9" t="n"/>
      <c r="D204" s="9" t="n"/>
      <c r="E204" s="10" t="n"/>
      <c r="F204" s="11" t="n"/>
      <c r="G204" s="13">
        <f>IF(C204="","",ROUND(E204*F204,2))</f>
        <v/>
      </c>
      <c r="H204" s="13">
        <f>IF(C204="","",IFERROR(VLOOKUP(C204,Inventory!$A$2:$J$501,9,FALSE),0))</f>
        <v/>
      </c>
      <c r="I204" s="13">
        <f>IF(C204="","",ROUND(E204*H204,2))</f>
        <v/>
      </c>
      <c r="J204" s="11" t="n"/>
      <c r="K204" s="11" t="n"/>
      <c r="L204" s="13">
        <f>IF(C204="","",ROUND(G204-I204-J204-K204,2))</f>
        <v/>
      </c>
      <c r="M204" s="10" t="n"/>
      <c r="N204" s="10" t="n"/>
      <c r="O204" s="12">
        <f>IF(C204="","",IFERROR(VLOOKUP(C204,Inventory!$A$2:$B$501,2,FALSE),"Unknown lot"))</f>
        <v/>
      </c>
      <c r="P204" s="12">
        <f>IF(D204="","",IFERROR(VLOOKUP(D204,Clients!$A$2:$B$501,2,FALSE),"Unknown client"))</f>
        <v/>
      </c>
      <c r="Q204" s="12">
        <f>IF(C204="","",IF(COUNTIF(Inventory!$A$2:$A$501,C204)&lt;&gt;1,"Check lot ID",IF(OR(A204="",B204="",E204="",F204=""),"Complete required fields",IF(COUNTIF($B$2:$B$501,B204)&gt;1,"Duplicate sale ID",IF(AND(D204&lt;&gt;"",COUNTIF(Clients!$A$2:$A$501,D204)&lt;&gt;1),"Check client ID",IF(VLOOKUP(C204,Inventory!$A$2:$L$501,12,FALSE)&lt;0,"OVER SOLD","OK"))))))</f>
        <v/>
      </c>
    </row>
    <row r="205" ht="23" customHeight="1">
      <c r="A205" s="18" t="n"/>
      <c r="B205" s="14" t="n"/>
      <c r="C205" s="14" t="n"/>
      <c r="D205" s="14" t="n"/>
      <c r="E205" s="15" t="n"/>
      <c r="F205" s="16" t="n"/>
      <c r="G205" s="13">
        <f>IF(C205="","",ROUND(E205*F205,2))</f>
        <v/>
      </c>
      <c r="H205" s="13">
        <f>IF(C205="","",IFERROR(VLOOKUP(C205,Inventory!$A$2:$J$501,9,FALSE),0))</f>
        <v/>
      </c>
      <c r="I205" s="13">
        <f>IF(C205="","",ROUND(E205*H205,2))</f>
        <v/>
      </c>
      <c r="J205" s="16" t="n"/>
      <c r="K205" s="16" t="n"/>
      <c r="L205" s="13">
        <f>IF(C205="","",ROUND(G205-I205-J205-K205,2))</f>
        <v/>
      </c>
      <c r="M205" s="15" t="n"/>
      <c r="N205" s="15" t="n"/>
      <c r="O205" s="12">
        <f>IF(C205="","",IFERROR(VLOOKUP(C205,Inventory!$A$2:$B$501,2,FALSE),"Unknown lot"))</f>
        <v/>
      </c>
      <c r="P205" s="12">
        <f>IF(D205="","",IFERROR(VLOOKUP(D205,Clients!$A$2:$B$501,2,FALSE),"Unknown client"))</f>
        <v/>
      </c>
      <c r="Q205" s="12">
        <f>IF(C205="","",IF(COUNTIF(Inventory!$A$2:$A$501,C205)&lt;&gt;1,"Check lot ID",IF(OR(A205="",B205="",E205="",F205=""),"Complete required fields",IF(COUNTIF($B$2:$B$501,B205)&gt;1,"Duplicate sale ID",IF(AND(D205&lt;&gt;"",COUNTIF(Clients!$A$2:$A$501,D205)&lt;&gt;1),"Check client ID",IF(VLOOKUP(C205,Inventory!$A$2:$L$501,12,FALSE)&lt;0,"OVER SOLD","OK"))))))</f>
        <v/>
      </c>
    </row>
    <row r="206" ht="23" customHeight="1">
      <c r="A206" s="17" t="n"/>
      <c r="B206" s="9" t="n"/>
      <c r="C206" s="9" t="n"/>
      <c r="D206" s="9" t="n"/>
      <c r="E206" s="10" t="n"/>
      <c r="F206" s="11" t="n"/>
      <c r="G206" s="13">
        <f>IF(C206="","",ROUND(E206*F206,2))</f>
        <v/>
      </c>
      <c r="H206" s="13">
        <f>IF(C206="","",IFERROR(VLOOKUP(C206,Inventory!$A$2:$J$501,9,FALSE),0))</f>
        <v/>
      </c>
      <c r="I206" s="13">
        <f>IF(C206="","",ROUND(E206*H206,2))</f>
        <v/>
      </c>
      <c r="J206" s="11" t="n"/>
      <c r="K206" s="11" t="n"/>
      <c r="L206" s="13">
        <f>IF(C206="","",ROUND(G206-I206-J206-K206,2))</f>
        <v/>
      </c>
      <c r="M206" s="10" t="n"/>
      <c r="N206" s="10" t="n"/>
      <c r="O206" s="12">
        <f>IF(C206="","",IFERROR(VLOOKUP(C206,Inventory!$A$2:$B$501,2,FALSE),"Unknown lot"))</f>
        <v/>
      </c>
      <c r="P206" s="12">
        <f>IF(D206="","",IFERROR(VLOOKUP(D206,Clients!$A$2:$B$501,2,FALSE),"Unknown client"))</f>
        <v/>
      </c>
      <c r="Q206" s="12">
        <f>IF(C206="","",IF(COUNTIF(Inventory!$A$2:$A$501,C206)&lt;&gt;1,"Check lot ID",IF(OR(A206="",B206="",E206="",F206=""),"Complete required fields",IF(COUNTIF($B$2:$B$501,B206)&gt;1,"Duplicate sale ID",IF(AND(D206&lt;&gt;"",COUNTIF(Clients!$A$2:$A$501,D206)&lt;&gt;1),"Check client ID",IF(VLOOKUP(C206,Inventory!$A$2:$L$501,12,FALSE)&lt;0,"OVER SOLD","OK"))))))</f>
        <v/>
      </c>
    </row>
    <row r="207" ht="23" customHeight="1">
      <c r="A207" s="18" t="n"/>
      <c r="B207" s="14" t="n"/>
      <c r="C207" s="14" t="n"/>
      <c r="D207" s="14" t="n"/>
      <c r="E207" s="15" t="n"/>
      <c r="F207" s="16" t="n"/>
      <c r="G207" s="13">
        <f>IF(C207="","",ROUND(E207*F207,2))</f>
        <v/>
      </c>
      <c r="H207" s="13">
        <f>IF(C207="","",IFERROR(VLOOKUP(C207,Inventory!$A$2:$J$501,9,FALSE),0))</f>
        <v/>
      </c>
      <c r="I207" s="13">
        <f>IF(C207="","",ROUND(E207*H207,2))</f>
        <v/>
      </c>
      <c r="J207" s="16" t="n"/>
      <c r="K207" s="16" t="n"/>
      <c r="L207" s="13">
        <f>IF(C207="","",ROUND(G207-I207-J207-K207,2))</f>
        <v/>
      </c>
      <c r="M207" s="15" t="n"/>
      <c r="N207" s="15" t="n"/>
      <c r="O207" s="12">
        <f>IF(C207="","",IFERROR(VLOOKUP(C207,Inventory!$A$2:$B$501,2,FALSE),"Unknown lot"))</f>
        <v/>
      </c>
      <c r="P207" s="12">
        <f>IF(D207="","",IFERROR(VLOOKUP(D207,Clients!$A$2:$B$501,2,FALSE),"Unknown client"))</f>
        <v/>
      </c>
      <c r="Q207" s="12">
        <f>IF(C207="","",IF(COUNTIF(Inventory!$A$2:$A$501,C207)&lt;&gt;1,"Check lot ID",IF(OR(A207="",B207="",E207="",F207=""),"Complete required fields",IF(COUNTIF($B$2:$B$501,B207)&gt;1,"Duplicate sale ID",IF(AND(D207&lt;&gt;"",COUNTIF(Clients!$A$2:$A$501,D207)&lt;&gt;1),"Check client ID",IF(VLOOKUP(C207,Inventory!$A$2:$L$501,12,FALSE)&lt;0,"OVER SOLD","OK"))))))</f>
        <v/>
      </c>
    </row>
    <row r="208" ht="23" customHeight="1">
      <c r="A208" s="17" t="n"/>
      <c r="B208" s="9" t="n"/>
      <c r="C208" s="9" t="n"/>
      <c r="D208" s="9" t="n"/>
      <c r="E208" s="10" t="n"/>
      <c r="F208" s="11" t="n"/>
      <c r="G208" s="13">
        <f>IF(C208="","",ROUND(E208*F208,2))</f>
        <v/>
      </c>
      <c r="H208" s="13">
        <f>IF(C208="","",IFERROR(VLOOKUP(C208,Inventory!$A$2:$J$501,9,FALSE),0))</f>
        <v/>
      </c>
      <c r="I208" s="13">
        <f>IF(C208="","",ROUND(E208*H208,2))</f>
        <v/>
      </c>
      <c r="J208" s="11" t="n"/>
      <c r="K208" s="11" t="n"/>
      <c r="L208" s="13">
        <f>IF(C208="","",ROUND(G208-I208-J208-K208,2))</f>
        <v/>
      </c>
      <c r="M208" s="10" t="n"/>
      <c r="N208" s="10" t="n"/>
      <c r="O208" s="12">
        <f>IF(C208="","",IFERROR(VLOOKUP(C208,Inventory!$A$2:$B$501,2,FALSE),"Unknown lot"))</f>
        <v/>
      </c>
      <c r="P208" s="12">
        <f>IF(D208="","",IFERROR(VLOOKUP(D208,Clients!$A$2:$B$501,2,FALSE),"Unknown client"))</f>
        <v/>
      </c>
      <c r="Q208" s="12">
        <f>IF(C208="","",IF(COUNTIF(Inventory!$A$2:$A$501,C208)&lt;&gt;1,"Check lot ID",IF(OR(A208="",B208="",E208="",F208=""),"Complete required fields",IF(COUNTIF($B$2:$B$501,B208)&gt;1,"Duplicate sale ID",IF(AND(D208&lt;&gt;"",COUNTIF(Clients!$A$2:$A$501,D208)&lt;&gt;1),"Check client ID",IF(VLOOKUP(C208,Inventory!$A$2:$L$501,12,FALSE)&lt;0,"OVER SOLD","OK"))))))</f>
        <v/>
      </c>
    </row>
    <row r="209" ht="23" customHeight="1">
      <c r="A209" s="18" t="n"/>
      <c r="B209" s="14" t="n"/>
      <c r="C209" s="14" t="n"/>
      <c r="D209" s="14" t="n"/>
      <c r="E209" s="15" t="n"/>
      <c r="F209" s="16" t="n"/>
      <c r="G209" s="13">
        <f>IF(C209="","",ROUND(E209*F209,2))</f>
        <v/>
      </c>
      <c r="H209" s="13">
        <f>IF(C209="","",IFERROR(VLOOKUP(C209,Inventory!$A$2:$J$501,9,FALSE),0))</f>
        <v/>
      </c>
      <c r="I209" s="13">
        <f>IF(C209="","",ROUND(E209*H209,2))</f>
        <v/>
      </c>
      <c r="J209" s="16" t="n"/>
      <c r="K209" s="16" t="n"/>
      <c r="L209" s="13">
        <f>IF(C209="","",ROUND(G209-I209-J209-K209,2))</f>
        <v/>
      </c>
      <c r="M209" s="15" t="n"/>
      <c r="N209" s="15" t="n"/>
      <c r="O209" s="12">
        <f>IF(C209="","",IFERROR(VLOOKUP(C209,Inventory!$A$2:$B$501,2,FALSE),"Unknown lot"))</f>
        <v/>
      </c>
      <c r="P209" s="12">
        <f>IF(D209="","",IFERROR(VLOOKUP(D209,Clients!$A$2:$B$501,2,FALSE),"Unknown client"))</f>
        <v/>
      </c>
      <c r="Q209" s="12">
        <f>IF(C209="","",IF(COUNTIF(Inventory!$A$2:$A$501,C209)&lt;&gt;1,"Check lot ID",IF(OR(A209="",B209="",E209="",F209=""),"Complete required fields",IF(COUNTIF($B$2:$B$501,B209)&gt;1,"Duplicate sale ID",IF(AND(D209&lt;&gt;"",COUNTIF(Clients!$A$2:$A$501,D209)&lt;&gt;1),"Check client ID",IF(VLOOKUP(C209,Inventory!$A$2:$L$501,12,FALSE)&lt;0,"OVER SOLD","OK"))))))</f>
        <v/>
      </c>
    </row>
    <row r="210" ht="23" customHeight="1">
      <c r="A210" s="17" t="n"/>
      <c r="B210" s="9" t="n"/>
      <c r="C210" s="9" t="n"/>
      <c r="D210" s="9" t="n"/>
      <c r="E210" s="10" t="n"/>
      <c r="F210" s="11" t="n"/>
      <c r="G210" s="13">
        <f>IF(C210="","",ROUND(E210*F210,2))</f>
        <v/>
      </c>
      <c r="H210" s="13">
        <f>IF(C210="","",IFERROR(VLOOKUP(C210,Inventory!$A$2:$J$501,9,FALSE),0))</f>
        <v/>
      </c>
      <c r="I210" s="13">
        <f>IF(C210="","",ROUND(E210*H210,2))</f>
        <v/>
      </c>
      <c r="J210" s="11" t="n"/>
      <c r="K210" s="11" t="n"/>
      <c r="L210" s="13">
        <f>IF(C210="","",ROUND(G210-I210-J210-K210,2))</f>
        <v/>
      </c>
      <c r="M210" s="10" t="n"/>
      <c r="N210" s="10" t="n"/>
      <c r="O210" s="12">
        <f>IF(C210="","",IFERROR(VLOOKUP(C210,Inventory!$A$2:$B$501,2,FALSE),"Unknown lot"))</f>
        <v/>
      </c>
      <c r="P210" s="12">
        <f>IF(D210="","",IFERROR(VLOOKUP(D210,Clients!$A$2:$B$501,2,FALSE),"Unknown client"))</f>
        <v/>
      </c>
      <c r="Q210" s="12">
        <f>IF(C210="","",IF(COUNTIF(Inventory!$A$2:$A$501,C210)&lt;&gt;1,"Check lot ID",IF(OR(A210="",B210="",E210="",F210=""),"Complete required fields",IF(COUNTIF($B$2:$B$501,B210)&gt;1,"Duplicate sale ID",IF(AND(D210&lt;&gt;"",COUNTIF(Clients!$A$2:$A$501,D210)&lt;&gt;1),"Check client ID",IF(VLOOKUP(C210,Inventory!$A$2:$L$501,12,FALSE)&lt;0,"OVER SOLD","OK"))))))</f>
        <v/>
      </c>
    </row>
    <row r="211" ht="23" customHeight="1">
      <c r="A211" s="18" t="n"/>
      <c r="B211" s="14" t="n"/>
      <c r="C211" s="14" t="n"/>
      <c r="D211" s="14" t="n"/>
      <c r="E211" s="15" t="n"/>
      <c r="F211" s="16" t="n"/>
      <c r="G211" s="13">
        <f>IF(C211="","",ROUND(E211*F211,2))</f>
        <v/>
      </c>
      <c r="H211" s="13">
        <f>IF(C211="","",IFERROR(VLOOKUP(C211,Inventory!$A$2:$J$501,9,FALSE),0))</f>
        <v/>
      </c>
      <c r="I211" s="13">
        <f>IF(C211="","",ROUND(E211*H211,2))</f>
        <v/>
      </c>
      <c r="J211" s="16" t="n"/>
      <c r="K211" s="16" t="n"/>
      <c r="L211" s="13">
        <f>IF(C211="","",ROUND(G211-I211-J211-K211,2))</f>
        <v/>
      </c>
      <c r="M211" s="15" t="n"/>
      <c r="N211" s="15" t="n"/>
      <c r="O211" s="12">
        <f>IF(C211="","",IFERROR(VLOOKUP(C211,Inventory!$A$2:$B$501,2,FALSE),"Unknown lot"))</f>
        <v/>
      </c>
      <c r="P211" s="12">
        <f>IF(D211="","",IFERROR(VLOOKUP(D211,Clients!$A$2:$B$501,2,FALSE),"Unknown client"))</f>
        <v/>
      </c>
      <c r="Q211" s="12">
        <f>IF(C211="","",IF(COUNTIF(Inventory!$A$2:$A$501,C211)&lt;&gt;1,"Check lot ID",IF(OR(A211="",B211="",E211="",F211=""),"Complete required fields",IF(COUNTIF($B$2:$B$501,B211)&gt;1,"Duplicate sale ID",IF(AND(D211&lt;&gt;"",COUNTIF(Clients!$A$2:$A$501,D211)&lt;&gt;1),"Check client ID",IF(VLOOKUP(C211,Inventory!$A$2:$L$501,12,FALSE)&lt;0,"OVER SOLD","OK"))))))</f>
        <v/>
      </c>
    </row>
    <row r="212" ht="23" customHeight="1">
      <c r="A212" s="17" t="n"/>
      <c r="B212" s="9" t="n"/>
      <c r="C212" s="9" t="n"/>
      <c r="D212" s="9" t="n"/>
      <c r="E212" s="10" t="n"/>
      <c r="F212" s="11" t="n"/>
      <c r="G212" s="13">
        <f>IF(C212="","",ROUND(E212*F212,2))</f>
        <v/>
      </c>
      <c r="H212" s="13">
        <f>IF(C212="","",IFERROR(VLOOKUP(C212,Inventory!$A$2:$J$501,9,FALSE),0))</f>
        <v/>
      </c>
      <c r="I212" s="13">
        <f>IF(C212="","",ROUND(E212*H212,2))</f>
        <v/>
      </c>
      <c r="J212" s="11" t="n"/>
      <c r="K212" s="11" t="n"/>
      <c r="L212" s="13">
        <f>IF(C212="","",ROUND(G212-I212-J212-K212,2))</f>
        <v/>
      </c>
      <c r="M212" s="10" t="n"/>
      <c r="N212" s="10" t="n"/>
      <c r="O212" s="12">
        <f>IF(C212="","",IFERROR(VLOOKUP(C212,Inventory!$A$2:$B$501,2,FALSE),"Unknown lot"))</f>
        <v/>
      </c>
      <c r="P212" s="12">
        <f>IF(D212="","",IFERROR(VLOOKUP(D212,Clients!$A$2:$B$501,2,FALSE),"Unknown client"))</f>
        <v/>
      </c>
      <c r="Q212" s="12">
        <f>IF(C212="","",IF(COUNTIF(Inventory!$A$2:$A$501,C212)&lt;&gt;1,"Check lot ID",IF(OR(A212="",B212="",E212="",F212=""),"Complete required fields",IF(COUNTIF($B$2:$B$501,B212)&gt;1,"Duplicate sale ID",IF(AND(D212&lt;&gt;"",COUNTIF(Clients!$A$2:$A$501,D212)&lt;&gt;1),"Check client ID",IF(VLOOKUP(C212,Inventory!$A$2:$L$501,12,FALSE)&lt;0,"OVER SOLD","OK"))))))</f>
        <v/>
      </c>
    </row>
    <row r="213" ht="23" customHeight="1">
      <c r="A213" s="18" t="n"/>
      <c r="B213" s="14" t="n"/>
      <c r="C213" s="14" t="n"/>
      <c r="D213" s="14" t="n"/>
      <c r="E213" s="15" t="n"/>
      <c r="F213" s="16" t="n"/>
      <c r="G213" s="13">
        <f>IF(C213="","",ROUND(E213*F213,2))</f>
        <v/>
      </c>
      <c r="H213" s="13">
        <f>IF(C213="","",IFERROR(VLOOKUP(C213,Inventory!$A$2:$J$501,9,FALSE),0))</f>
        <v/>
      </c>
      <c r="I213" s="13">
        <f>IF(C213="","",ROUND(E213*H213,2))</f>
        <v/>
      </c>
      <c r="J213" s="16" t="n"/>
      <c r="K213" s="16" t="n"/>
      <c r="L213" s="13">
        <f>IF(C213="","",ROUND(G213-I213-J213-K213,2))</f>
        <v/>
      </c>
      <c r="M213" s="15" t="n"/>
      <c r="N213" s="15" t="n"/>
      <c r="O213" s="12">
        <f>IF(C213="","",IFERROR(VLOOKUP(C213,Inventory!$A$2:$B$501,2,FALSE),"Unknown lot"))</f>
        <v/>
      </c>
      <c r="P213" s="12">
        <f>IF(D213="","",IFERROR(VLOOKUP(D213,Clients!$A$2:$B$501,2,FALSE),"Unknown client"))</f>
        <v/>
      </c>
      <c r="Q213" s="12">
        <f>IF(C213="","",IF(COUNTIF(Inventory!$A$2:$A$501,C213)&lt;&gt;1,"Check lot ID",IF(OR(A213="",B213="",E213="",F213=""),"Complete required fields",IF(COUNTIF($B$2:$B$501,B213)&gt;1,"Duplicate sale ID",IF(AND(D213&lt;&gt;"",COUNTIF(Clients!$A$2:$A$501,D213)&lt;&gt;1),"Check client ID",IF(VLOOKUP(C213,Inventory!$A$2:$L$501,12,FALSE)&lt;0,"OVER SOLD","OK"))))))</f>
        <v/>
      </c>
    </row>
    <row r="214" ht="23" customHeight="1">
      <c r="A214" s="17" t="n"/>
      <c r="B214" s="9" t="n"/>
      <c r="C214" s="9" t="n"/>
      <c r="D214" s="9" t="n"/>
      <c r="E214" s="10" t="n"/>
      <c r="F214" s="11" t="n"/>
      <c r="G214" s="13">
        <f>IF(C214="","",ROUND(E214*F214,2))</f>
        <v/>
      </c>
      <c r="H214" s="13">
        <f>IF(C214="","",IFERROR(VLOOKUP(C214,Inventory!$A$2:$J$501,9,FALSE),0))</f>
        <v/>
      </c>
      <c r="I214" s="13">
        <f>IF(C214="","",ROUND(E214*H214,2))</f>
        <v/>
      </c>
      <c r="J214" s="11" t="n"/>
      <c r="K214" s="11" t="n"/>
      <c r="L214" s="13">
        <f>IF(C214="","",ROUND(G214-I214-J214-K214,2))</f>
        <v/>
      </c>
      <c r="M214" s="10" t="n"/>
      <c r="N214" s="10" t="n"/>
      <c r="O214" s="12">
        <f>IF(C214="","",IFERROR(VLOOKUP(C214,Inventory!$A$2:$B$501,2,FALSE),"Unknown lot"))</f>
        <v/>
      </c>
      <c r="P214" s="12">
        <f>IF(D214="","",IFERROR(VLOOKUP(D214,Clients!$A$2:$B$501,2,FALSE),"Unknown client"))</f>
        <v/>
      </c>
      <c r="Q214" s="12">
        <f>IF(C214="","",IF(COUNTIF(Inventory!$A$2:$A$501,C214)&lt;&gt;1,"Check lot ID",IF(OR(A214="",B214="",E214="",F214=""),"Complete required fields",IF(COUNTIF($B$2:$B$501,B214)&gt;1,"Duplicate sale ID",IF(AND(D214&lt;&gt;"",COUNTIF(Clients!$A$2:$A$501,D214)&lt;&gt;1),"Check client ID",IF(VLOOKUP(C214,Inventory!$A$2:$L$501,12,FALSE)&lt;0,"OVER SOLD","OK"))))))</f>
        <v/>
      </c>
    </row>
    <row r="215" ht="23" customHeight="1">
      <c r="A215" s="18" t="n"/>
      <c r="B215" s="14" t="n"/>
      <c r="C215" s="14" t="n"/>
      <c r="D215" s="14" t="n"/>
      <c r="E215" s="15" t="n"/>
      <c r="F215" s="16" t="n"/>
      <c r="G215" s="13">
        <f>IF(C215="","",ROUND(E215*F215,2))</f>
        <v/>
      </c>
      <c r="H215" s="13">
        <f>IF(C215="","",IFERROR(VLOOKUP(C215,Inventory!$A$2:$J$501,9,FALSE),0))</f>
        <v/>
      </c>
      <c r="I215" s="13">
        <f>IF(C215="","",ROUND(E215*H215,2))</f>
        <v/>
      </c>
      <c r="J215" s="16" t="n"/>
      <c r="K215" s="16" t="n"/>
      <c r="L215" s="13">
        <f>IF(C215="","",ROUND(G215-I215-J215-K215,2))</f>
        <v/>
      </c>
      <c r="M215" s="15" t="n"/>
      <c r="N215" s="15" t="n"/>
      <c r="O215" s="12">
        <f>IF(C215="","",IFERROR(VLOOKUP(C215,Inventory!$A$2:$B$501,2,FALSE),"Unknown lot"))</f>
        <v/>
      </c>
      <c r="P215" s="12">
        <f>IF(D215="","",IFERROR(VLOOKUP(D215,Clients!$A$2:$B$501,2,FALSE),"Unknown client"))</f>
        <v/>
      </c>
      <c r="Q215" s="12">
        <f>IF(C215="","",IF(COUNTIF(Inventory!$A$2:$A$501,C215)&lt;&gt;1,"Check lot ID",IF(OR(A215="",B215="",E215="",F215=""),"Complete required fields",IF(COUNTIF($B$2:$B$501,B215)&gt;1,"Duplicate sale ID",IF(AND(D215&lt;&gt;"",COUNTIF(Clients!$A$2:$A$501,D215)&lt;&gt;1),"Check client ID",IF(VLOOKUP(C215,Inventory!$A$2:$L$501,12,FALSE)&lt;0,"OVER SOLD","OK"))))))</f>
        <v/>
      </c>
    </row>
    <row r="216" ht="23" customHeight="1">
      <c r="A216" s="17" t="n"/>
      <c r="B216" s="9" t="n"/>
      <c r="C216" s="9" t="n"/>
      <c r="D216" s="9" t="n"/>
      <c r="E216" s="10" t="n"/>
      <c r="F216" s="11" t="n"/>
      <c r="G216" s="13">
        <f>IF(C216="","",ROUND(E216*F216,2))</f>
        <v/>
      </c>
      <c r="H216" s="13">
        <f>IF(C216="","",IFERROR(VLOOKUP(C216,Inventory!$A$2:$J$501,9,FALSE),0))</f>
        <v/>
      </c>
      <c r="I216" s="13">
        <f>IF(C216="","",ROUND(E216*H216,2))</f>
        <v/>
      </c>
      <c r="J216" s="11" t="n"/>
      <c r="K216" s="11" t="n"/>
      <c r="L216" s="13">
        <f>IF(C216="","",ROUND(G216-I216-J216-K216,2))</f>
        <v/>
      </c>
      <c r="M216" s="10" t="n"/>
      <c r="N216" s="10" t="n"/>
      <c r="O216" s="12">
        <f>IF(C216="","",IFERROR(VLOOKUP(C216,Inventory!$A$2:$B$501,2,FALSE),"Unknown lot"))</f>
        <v/>
      </c>
      <c r="P216" s="12">
        <f>IF(D216="","",IFERROR(VLOOKUP(D216,Clients!$A$2:$B$501,2,FALSE),"Unknown client"))</f>
        <v/>
      </c>
      <c r="Q216" s="12">
        <f>IF(C216="","",IF(COUNTIF(Inventory!$A$2:$A$501,C216)&lt;&gt;1,"Check lot ID",IF(OR(A216="",B216="",E216="",F216=""),"Complete required fields",IF(COUNTIF($B$2:$B$501,B216)&gt;1,"Duplicate sale ID",IF(AND(D216&lt;&gt;"",COUNTIF(Clients!$A$2:$A$501,D216)&lt;&gt;1),"Check client ID",IF(VLOOKUP(C216,Inventory!$A$2:$L$501,12,FALSE)&lt;0,"OVER SOLD","OK"))))))</f>
        <v/>
      </c>
    </row>
    <row r="217" ht="23" customHeight="1">
      <c r="A217" s="18" t="n"/>
      <c r="B217" s="14" t="n"/>
      <c r="C217" s="14" t="n"/>
      <c r="D217" s="14" t="n"/>
      <c r="E217" s="15" t="n"/>
      <c r="F217" s="16" t="n"/>
      <c r="G217" s="13">
        <f>IF(C217="","",ROUND(E217*F217,2))</f>
        <v/>
      </c>
      <c r="H217" s="13">
        <f>IF(C217="","",IFERROR(VLOOKUP(C217,Inventory!$A$2:$J$501,9,FALSE),0))</f>
        <v/>
      </c>
      <c r="I217" s="13">
        <f>IF(C217="","",ROUND(E217*H217,2))</f>
        <v/>
      </c>
      <c r="J217" s="16" t="n"/>
      <c r="K217" s="16" t="n"/>
      <c r="L217" s="13">
        <f>IF(C217="","",ROUND(G217-I217-J217-K217,2))</f>
        <v/>
      </c>
      <c r="M217" s="15" t="n"/>
      <c r="N217" s="15" t="n"/>
      <c r="O217" s="12">
        <f>IF(C217="","",IFERROR(VLOOKUP(C217,Inventory!$A$2:$B$501,2,FALSE),"Unknown lot"))</f>
        <v/>
      </c>
      <c r="P217" s="12">
        <f>IF(D217="","",IFERROR(VLOOKUP(D217,Clients!$A$2:$B$501,2,FALSE),"Unknown client"))</f>
        <v/>
      </c>
      <c r="Q217" s="12">
        <f>IF(C217="","",IF(COUNTIF(Inventory!$A$2:$A$501,C217)&lt;&gt;1,"Check lot ID",IF(OR(A217="",B217="",E217="",F217=""),"Complete required fields",IF(COUNTIF($B$2:$B$501,B217)&gt;1,"Duplicate sale ID",IF(AND(D217&lt;&gt;"",COUNTIF(Clients!$A$2:$A$501,D217)&lt;&gt;1),"Check client ID",IF(VLOOKUP(C217,Inventory!$A$2:$L$501,12,FALSE)&lt;0,"OVER SOLD","OK"))))))</f>
        <v/>
      </c>
    </row>
    <row r="218" ht="23" customHeight="1">
      <c r="A218" s="17" t="n"/>
      <c r="B218" s="9" t="n"/>
      <c r="C218" s="9" t="n"/>
      <c r="D218" s="9" t="n"/>
      <c r="E218" s="10" t="n"/>
      <c r="F218" s="11" t="n"/>
      <c r="G218" s="13">
        <f>IF(C218="","",ROUND(E218*F218,2))</f>
        <v/>
      </c>
      <c r="H218" s="13">
        <f>IF(C218="","",IFERROR(VLOOKUP(C218,Inventory!$A$2:$J$501,9,FALSE),0))</f>
        <v/>
      </c>
      <c r="I218" s="13">
        <f>IF(C218="","",ROUND(E218*H218,2))</f>
        <v/>
      </c>
      <c r="J218" s="11" t="n"/>
      <c r="K218" s="11" t="n"/>
      <c r="L218" s="13">
        <f>IF(C218="","",ROUND(G218-I218-J218-K218,2))</f>
        <v/>
      </c>
      <c r="M218" s="10" t="n"/>
      <c r="N218" s="10" t="n"/>
      <c r="O218" s="12">
        <f>IF(C218="","",IFERROR(VLOOKUP(C218,Inventory!$A$2:$B$501,2,FALSE),"Unknown lot"))</f>
        <v/>
      </c>
      <c r="P218" s="12">
        <f>IF(D218="","",IFERROR(VLOOKUP(D218,Clients!$A$2:$B$501,2,FALSE),"Unknown client"))</f>
        <v/>
      </c>
      <c r="Q218" s="12">
        <f>IF(C218="","",IF(COUNTIF(Inventory!$A$2:$A$501,C218)&lt;&gt;1,"Check lot ID",IF(OR(A218="",B218="",E218="",F218=""),"Complete required fields",IF(COUNTIF($B$2:$B$501,B218)&gt;1,"Duplicate sale ID",IF(AND(D218&lt;&gt;"",COUNTIF(Clients!$A$2:$A$501,D218)&lt;&gt;1),"Check client ID",IF(VLOOKUP(C218,Inventory!$A$2:$L$501,12,FALSE)&lt;0,"OVER SOLD","OK"))))))</f>
        <v/>
      </c>
    </row>
    <row r="219" ht="23" customHeight="1">
      <c r="A219" s="18" t="n"/>
      <c r="B219" s="14" t="n"/>
      <c r="C219" s="14" t="n"/>
      <c r="D219" s="14" t="n"/>
      <c r="E219" s="15" t="n"/>
      <c r="F219" s="16" t="n"/>
      <c r="G219" s="13">
        <f>IF(C219="","",ROUND(E219*F219,2))</f>
        <v/>
      </c>
      <c r="H219" s="13">
        <f>IF(C219="","",IFERROR(VLOOKUP(C219,Inventory!$A$2:$J$501,9,FALSE),0))</f>
        <v/>
      </c>
      <c r="I219" s="13">
        <f>IF(C219="","",ROUND(E219*H219,2))</f>
        <v/>
      </c>
      <c r="J219" s="16" t="n"/>
      <c r="K219" s="16" t="n"/>
      <c r="L219" s="13">
        <f>IF(C219="","",ROUND(G219-I219-J219-K219,2))</f>
        <v/>
      </c>
      <c r="M219" s="15" t="n"/>
      <c r="N219" s="15" t="n"/>
      <c r="O219" s="12">
        <f>IF(C219="","",IFERROR(VLOOKUP(C219,Inventory!$A$2:$B$501,2,FALSE),"Unknown lot"))</f>
        <v/>
      </c>
      <c r="P219" s="12">
        <f>IF(D219="","",IFERROR(VLOOKUP(D219,Clients!$A$2:$B$501,2,FALSE),"Unknown client"))</f>
        <v/>
      </c>
      <c r="Q219" s="12">
        <f>IF(C219="","",IF(COUNTIF(Inventory!$A$2:$A$501,C219)&lt;&gt;1,"Check lot ID",IF(OR(A219="",B219="",E219="",F219=""),"Complete required fields",IF(COUNTIF($B$2:$B$501,B219)&gt;1,"Duplicate sale ID",IF(AND(D219&lt;&gt;"",COUNTIF(Clients!$A$2:$A$501,D219)&lt;&gt;1),"Check client ID",IF(VLOOKUP(C219,Inventory!$A$2:$L$501,12,FALSE)&lt;0,"OVER SOLD","OK"))))))</f>
        <v/>
      </c>
    </row>
    <row r="220" ht="23" customHeight="1">
      <c r="A220" s="17" t="n"/>
      <c r="B220" s="9" t="n"/>
      <c r="C220" s="9" t="n"/>
      <c r="D220" s="9" t="n"/>
      <c r="E220" s="10" t="n"/>
      <c r="F220" s="11" t="n"/>
      <c r="G220" s="13">
        <f>IF(C220="","",ROUND(E220*F220,2))</f>
        <v/>
      </c>
      <c r="H220" s="13">
        <f>IF(C220="","",IFERROR(VLOOKUP(C220,Inventory!$A$2:$J$501,9,FALSE),0))</f>
        <v/>
      </c>
      <c r="I220" s="13">
        <f>IF(C220="","",ROUND(E220*H220,2))</f>
        <v/>
      </c>
      <c r="J220" s="11" t="n"/>
      <c r="K220" s="11" t="n"/>
      <c r="L220" s="13">
        <f>IF(C220="","",ROUND(G220-I220-J220-K220,2))</f>
        <v/>
      </c>
      <c r="M220" s="10" t="n"/>
      <c r="N220" s="10" t="n"/>
      <c r="O220" s="12">
        <f>IF(C220="","",IFERROR(VLOOKUP(C220,Inventory!$A$2:$B$501,2,FALSE),"Unknown lot"))</f>
        <v/>
      </c>
      <c r="P220" s="12">
        <f>IF(D220="","",IFERROR(VLOOKUP(D220,Clients!$A$2:$B$501,2,FALSE),"Unknown client"))</f>
        <v/>
      </c>
      <c r="Q220" s="12">
        <f>IF(C220="","",IF(COUNTIF(Inventory!$A$2:$A$501,C220)&lt;&gt;1,"Check lot ID",IF(OR(A220="",B220="",E220="",F220=""),"Complete required fields",IF(COUNTIF($B$2:$B$501,B220)&gt;1,"Duplicate sale ID",IF(AND(D220&lt;&gt;"",COUNTIF(Clients!$A$2:$A$501,D220)&lt;&gt;1),"Check client ID",IF(VLOOKUP(C220,Inventory!$A$2:$L$501,12,FALSE)&lt;0,"OVER SOLD","OK"))))))</f>
        <v/>
      </c>
    </row>
    <row r="221" ht="23" customHeight="1">
      <c r="A221" s="18" t="n"/>
      <c r="B221" s="14" t="n"/>
      <c r="C221" s="14" t="n"/>
      <c r="D221" s="14" t="n"/>
      <c r="E221" s="15" t="n"/>
      <c r="F221" s="16" t="n"/>
      <c r="G221" s="13">
        <f>IF(C221="","",ROUND(E221*F221,2))</f>
        <v/>
      </c>
      <c r="H221" s="13">
        <f>IF(C221="","",IFERROR(VLOOKUP(C221,Inventory!$A$2:$J$501,9,FALSE),0))</f>
        <v/>
      </c>
      <c r="I221" s="13">
        <f>IF(C221="","",ROUND(E221*H221,2))</f>
        <v/>
      </c>
      <c r="J221" s="16" t="n"/>
      <c r="K221" s="16" t="n"/>
      <c r="L221" s="13">
        <f>IF(C221="","",ROUND(G221-I221-J221-K221,2))</f>
        <v/>
      </c>
      <c r="M221" s="15" t="n"/>
      <c r="N221" s="15" t="n"/>
      <c r="O221" s="12">
        <f>IF(C221="","",IFERROR(VLOOKUP(C221,Inventory!$A$2:$B$501,2,FALSE),"Unknown lot"))</f>
        <v/>
      </c>
      <c r="P221" s="12">
        <f>IF(D221="","",IFERROR(VLOOKUP(D221,Clients!$A$2:$B$501,2,FALSE),"Unknown client"))</f>
        <v/>
      </c>
      <c r="Q221" s="12">
        <f>IF(C221="","",IF(COUNTIF(Inventory!$A$2:$A$501,C221)&lt;&gt;1,"Check lot ID",IF(OR(A221="",B221="",E221="",F221=""),"Complete required fields",IF(COUNTIF($B$2:$B$501,B221)&gt;1,"Duplicate sale ID",IF(AND(D221&lt;&gt;"",COUNTIF(Clients!$A$2:$A$501,D221)&lt;&gt;1),"Check client ID",IF(VLOOKUP(C221,Inventory!$A$2:$L$501,12,FALSE)&lt;0,"OVER SOLD","OK"))))))</f>
        <v/>
      </c>
    </row>
    <row r="222" ht="23" customHeight="1">
      <c r="A222" s="17" t="n"/>
      <c r="B222" s="9" t="n"/>
      <c r="C222" s="9" t="n"/>
      <c r="D222" s="9" t="n"/>
      <c r="E222" s="10" t="n"/>
      <c r="F222" s="11" t="n"/>
      <c r="G222" s="13">
        <f>IF(C222="","",ROUND(E222*F222,2))</f>
        <v/>
      </c>
      <c r="H222" s="13">
        <f>IF(C222="","",IFERROR(VLOOKUP(C222,Inventory!$A$2:$J$501,9,FALSE),0))</f>
        <v/>
      </c>
      <c r="I222" s="13">
        <f>IF(C222="","",ROUND(E222*H222,2))</f>
        <v/>
      </c>
      <c r="J222" s="11" t="n"/>
      <c r="K222" s="11" t="n"/>
      <c r="L222" s="13">
        <f>IF(C222="","",ROUND(G222-I222-J222-K222,2))</f>
        <v/>
      </c>
      <c r="M222" s="10" t="n"/>
      <c r="N222" s="10" t="n"/>
      <c r="O222" s="12">
        <f>IF(C222="","",IFERROR(VLOOKUP(C222,Inventory!$A$2:$B$501,2,FALSE),"Unknown lot"))</f>
        <v/>
      </c>
      <c r="P222" s="12">
        <f>IF(D222="","",IFERROR(VLOOKUP(D222,Clients!$A$2:$B$501,2,FALSE),"Unknown client"))</f>
        <v/>
      </c>
      <c r="Q222" s="12">
        <f>IF(C222="","",IF(COUNTIF(Inventory!$A$2:$A$501,C222)&lt;&gt;1,"Check lot ID",IF(OR(A222="",B222="",E222="",F222=""),"Complete required fields",IF(COUNTIF($B$2:$B$501,B222)&gt;1,"Duplicate sale ID",IF(AND(D222&lt;&gt;"",COUNTIF(Clients!$A$2:$A$501,D222)&lt;&gt;1),"Check client ID",IF(VLOOKUP(C222,Inventory!$A$2:$L$501,12,FALSE)&lt;0,"OVER SOLD","OK"))))))</f>
        <v/>
      </c>
    </row>
    <row r="223" ht="23" customHeight="1">
      <c r="A223" s="18" t="n"/>
      <c r="B223" s="14" t="n"/>
      <c r="C223" s="14" t="n"/>
      <c r="D223" s="14" t="n"/>
      <c r="E223" s="15" t="n"/>
      <c r="F223" s="16" t="n"/>
      <c r="G223" s="13">
        <f>IF(C223="","",ROUND(E223*F223,2))</f>
        <v/>
      </c>
      <c r="H223" s="13">
        <f>IF(C223="","",IFERROR(VLOOKUP(C223,Inventory!$A$2:$J$501,9,FALSE),0))</f>
        <v/>
      </c>
      <c r="I223" s="13">
        <f>IF(C223="","",ROUND(E223*H223,2))</f>
        <v/>
      </c>
      <c r="J223" s="16" t="n"/>
      <c r="K223" s="16" t="n"/>
      <c r="L223" s="13">
        <f>IF(C223="","",ROUND(G223-I223-J223-K223,2))</f>
        <v/>
      </c>
      <c r="M223" s="15" t="n"/>
      <c r="N223" s="15" t="n"/>
      <c r="O223" s="12">
        <f>IF(C223="","",IFERROR(VLOOKUP(C223,Inventory!$A$2:$B$501,2,FALSE),"Unknown lot"))</f>
        <v/>
      </c>
      <c r="P223" s="12">
        <f>IF(D223="","",IFERROR(VLOOKUP(D223,Clients!$A$2:$B$501,2,FALSE),"Unknown client"))</f>
        <v/>
      </c>
      <c r="Q223" s="12">
        <f>IF(C223="","",IF(COUNTIF(Inventory!$A$2:$A$501,C223)&lt;&gt;1,"Check lot ID",IF(OR(A223="",B223="",E223="",F223=""),"Complete required fields",IF(COUNTIF($B$2:$B$501,B223)&gt;1,"Duplicate sale ID",IF(AND(D223&lt;&gt;"",COUNTIF(Clients!$A$2:$A$501,D223)&lt;&gt;1),"Check client ID",IF(VLOOKUP(C223,Inventory!$A$2:$L$501,12,FALSE)&lt;0,"OVER SOLD","OK"))))))</f>
        <v/>
      </c>
    </row>
    <row r="224" ht="23" customHeight="1">
      <c r="A224" s="17" t="n"/>
      <c r="B224" s="9" t="n"/>
      <c r="C224" s="9" t="n"/>
      <c r="D224" s="9" t="n"/>
      <c r="E224" s="10" t="n"/>
      <c r="F224" s="11" t="n"/>
      <c r="G224" s="13">
        <f>IF(C224="","",ROUND(E224*F224,2))</f>
        <v/>
      </c>
      <c r="H224" s="13">
        <f>IF(C224="","",IFERROR(VLOOKUP(C224,Inventory!$A$2:$J$501,9,FALSE),0))</f>
        <v/>
      </c>
      <c r="I224" s="13">
        <f>IF(C224="","",ROUND(E224*H224,2))</f>
        <v/>
      </c>
      <c r="J224" s="11" t="n"/>
      <c r="K224" s="11" t="n"/>
      <c r="L224" s="13">
        <f>IF(C224="","",ROUND(G224-I224-J224-K224,2))</f>
        <v/>
      </c>
      <c r="M224" s="10" t="n"/>
      <c r="N224" s="10" t="n"/>
      <c r="O224" s="12">
        <f>IF(C224="","",IFERROR(VLOOKUP(C224,Inventory!$A$2:$B$501,2,FALSE),"Unknown lot"))</f>
        <v/>
      </c>
      <c r="P224" s="12">
        <f>IF(D224="","",IFERROR(VLOOKUP(D224,Clients!$A$2:$B$501,2,FALSE),"Unknown client"))</f>
        <v/>
      </c>
      <c r="Q224" s="12">
        <f>IF(C224="","",IF(COUNTIF(Inventory!$A$2:$A$501,C224)&lt;&gt;1,"Check lot ID",IF(OR(A224="",B224="",E224="",F224=""),"Complete required fields",IF(COUNTIF($B$2:$B$501,B224)&gt;1,"Duplicate sale ID",IF(AND(D224&lt;&gt;"",COUNTIF(Clients!$A$2:$A$501,D224)&lt;&gt;1),"Check client ID",IF(VLOOKUP(C224,Inventory!$A$2:$L$501,12,FALSE)&lt;0,"OVER SOLD","OK"))))))</f>
        <v/>
      </c>
    </row>
    <row r="225" ht="23" customHeight="1">
      <c r="A225" s="18" t="n"/>
      <c r="B225" s="14" t="n"/>
      <c r="C225" s="14" t="n"/>
      <c r="D225" s="14" t="n"/>
      <c r="E225" s="15" t="n"/>
      <c r="F225" s="16" t="n"/>
      <c r="G225" s="13">
        <f>IF(C225="","",ROUND(E225*F225,2))</f>
        <v/>
      </c>
      <c r="H225" s="13">
        <f>IF(C225="","",IFERROR(VLOOKUP(C225,Inventory!$A$2:$J$501,9,FALSE),0))</f>
        <v/>
      </c>
      <c r="I225" s="13">
        <f>IF(C225="","",ROUND(E225*H225,2))</f>
        <v/>
      </c>
      <c r="J225" s="16" t="n"/>
      <c r="K225" s="16" t="n"/>
      <c r="L225" s="13">
        <f>IF(C225="","",ROUND(G225-I225-J225-K225,2))</f>
        <v/>
      </c>
      <c r="M225" s="15" t="n"/>
      <c r="N225" s="15" t="n"/>
      <c r="O225" s="12">
        <f>IF(C225="","",IFERROR(VLOOKUP(C225,Inventory!$A$2:$B$501,2,FALSE),"Unknown lot"))</f>
        <v/>
      </c>
      <c r="P225" s="12">
        <f>IF(D225="","",IFERROR(VLOOKUP(D225,Clients!$A$2:$B$501,2,FALSE),"Unknown client"))</f>
        <v/>
      </c>
      <c r="Q225" s="12">
        <f>IF(C225="","",IF(COUNTIF(Inventory!$A$2:$A$501,C225)&lt;&gt;1,"Check lot ID",IF(OR(A225="",B225="",E225="",F225=""),"Complete required fields",IF(COUNTIF($B$2:$B$501,B225)&gt;1,"Duplicate sale ID",IF(AND(D225&lt;&gt;"",COUNTIF(Clients!$A$2:$A$501,D225)&lt;&gt;1),"Check client ID",IF(VLOOKUP(C225,Inventory!$A$2:$L$501,12,FALSE)&lt;0,"OVER SOLD","OK"))))))</f>
        <v/>
      </c>
    </row>
    <row r="226" ht="23" customHeight="1">
      <c r="A226" s="17" t="n"/>
      <c r="B226" s="9" t="n"/>
      <c r="C226" s="9" t="n"/>
      <c r="D226" s="9" t="n"/>
      <c r="E226" s="10" t="n"/>
      <c r="F226" s="11" t="n"/>
      <c r="G226" s="13">
        <f>IF(C226="","",ROUND(E226*F226,2))</f>
        <v/>
      </c>
      <c r="H226" s="13">
        <f>IF(C226="","",IFERROR(VLOOKUP(C226,Inventory!$A$2:$J$501,9,FALSE),0))</f>
        <v/>
      </c>
      <c r="I226" s="13">
        <f>IF(C226="","",ROUND(E226*H226,2))</f>
        <v/>
      </c>
      <c r="J226" s="11" t="n"/>
      <c r="K226" s="11" t="n"/>
      <c r="L226" s="13">
        <f>IF(C226="","",ROUND(G226-I226-J226-K226,2))</f>
        <v/>
      </c>
      <c r="M226" s="10" t="n"/>
      <c r="N226" s="10" t="n"/>
      <c r="O226" s="12">
        <f>IF(C226="","",IFERROR(VLOOKUP(C226,Inventory!$A$2:$B$501,2,FALSE),"Unknown lot"))</f>
        <v/>
      </c>
      <c r="P226" s="12">
        <f>IF(D226="","",IFERROR(VLOOKUP(D226,Clients!$A$2:$B$501,2,FALSE),"Unknown client"))</f>
        <v/>
      </c>
      <c r="Q226" s="12">
        <f>IF(C226="","",IF(COUNTIF(Inventory!$A$2:$A$501,C226)&lt;&gt;1,"Check lot ID",IF(OR(A226="",B226="",E226="",F226=""),"Complete required fields",IF(COUNTIF($B$2:$B$501,B226)&gt;1,"Duplicate sale ID",IF(AND(D226&lt;&gt;"",COUNTIF(Clients!$A$2:$A$501,D226)&lt;&gt;1),"Check client ID",IF(VLOOKUP(C226,Inventory!$A$2:$L$501,12,FALSE)&lt;0,"OVER SOLD","OK"))))))</f>
        <v/>
      </c>
    </row>
    <row r="227" ht="23" customHeight="1">
      <c r="A227" s="18" t="n"/>
      <c r="B227" s="14" t="n"/>
      <c r="C227" s="14" t="n"/>
      <c r="D227" s="14" t="n"/>
      <c r="E227" s="15" t="n"/>
      <c r="F227" s="16" t="n"/>
      <c r="G227" s="13">
        <f>IF(C227="","",ROUND(E227*F227,2))</f>
        <v/>
      </c>
      <c r="H227" s="13">
        <f>IF(C227="","",IFERROR(VLOOKUP(C227,Inventory!$A$2:$J$501,9,FALSE),0))</f>
        <v/>
      </c>
      <c r="I227" s="13">
        <f>IF(C227="","",ROUND(E227*H227,2))</f>
        <v/>
      </c>
      <c r="J227" s="16" t="n"/>
      <c r="K227" s="16" t="n"/>
      <c r="L227" s="13">
        <f>IF(C227="","",ROUND(G227-I227-J227-K227,2))</f>
        <v/>
      </c>
      <c r="M227" s="15" t="n"/>
      <c r="N227" s="15" t="n"/>
      <c r="O227" s="12">
        <f>IF(C227="","",IFERROR(VLOOKUP(C227,Inventory!$A$2:$B$501,2,FALSE),"Unknown lot"))</f>
        <v/>
      </c>
      <c r="P227" s="12">
        <f>IF(D227="","",IFERROR(VLOOKUP(D227,Clients!$A$2:$B$501,2,FALSE),"Unknown client"))</f>
        <v/>
      </c>
      <c r="Q227" s="12">
        <f>IF(C227="","",IF(COUNTIF(Inventory!$A$2:$A$501,C227)&lt;&gt;1,"Check lot ID",IF(OR(A227="",B227="",E227="",F227=""),"Complete required fields",IF(COUNTIF($B$2:$B$501,B227)&gt;1,"Duplicate sale ID",IF(AND(D227&lt;&gt;"",COUNTIF(Clients!$A$2:$A$501,D227)&lt;&gt;1),"Check client ID",IF(VLOOKUP(C227,Inventory!$A$2:$L$501,12,FALSE)&lt;0,"OVER SOLD","OK"))))))</f>
        <v/>
      </c>
    </row>
    <row r="228" ht="23" customHeight="1">
      <c r="A228" s="17" t="n"/>
      <c r="B228" s="9" t="n"/>
      <c r="C228" s="9" t="n"/>
      <c r="D228" s="9" t="n"/>
      <c r="E228" s="10" t="n"/>
      <c r="F228" s="11" t="n"/>
      <c r="G228" s="13">
        <f>IF(C228="","",ROUND(E228*F228,2))</f>
        <v/>
      </c>
      <c r="H228" s="13">
        <f>IF(C228="","",IFERROR(VLOOKUP(C228,Inventory!$A$2:$J$501,9,FALSE),0))</f>
        <v/>
      </c>
      <c r="I228" s="13">
        <f>IF(C228="","",ROUND(E228*H228,2))</f>
        <v/>
      </c>
      <c r="J228" s="11" t="n"/>
      <c r="K228" s="11" t="n"/>
      <c r="L228" s="13">
        <f>IF(C228="","",ROUND(G228-I228-J228-K228,2))</f>
        <v/>
      </c>
      <c r="M228" s="10" t="n"/>
      <c r="N228" s="10" t="n"/>
      <c r="O228" s="12">
        <f>IF(C228="","",IFERROR(VLOOKUP(C228,Inventory!$A$2:$B$501,2,FALSE),"Unknown lot"))</f>
        <v/>
      </c>
      <c r="P228" s="12">
        <f>IF(D228="","",IFERROR(VLOOKUP(D228,Clients!$A$2:$B$501,2,FALSE),"Unknown client"))</f>
        <v/>
      </c>
      <c r="Q228" s="12">
        <f>IF(C228="","",IF(COUNTIF(Inventory!$A$2:$A$501,C228)&lt;&gt;1,"Check lot ID",IF(OR(A228="",B228="",E228="",F228=""),"Complete required fields",IF(COUNTIF($B$2:$B$501,B228)&gt;1,"Duplicate sale ID",IF(AND(D228&lt;&gt;"",COUNTIF(Clients!$A$2:$A$501,D228)&lt;&gt;1),"Check client ID",IF(VLOOKUP(C228,Inventory!$A$2:$L$501,12,FALSE)&lt;0,"OVER SOLD","OK"))))))</f>
        <v/>
      </c>
    </row>
    <row r="229" ht="23" customHeight="1">
      <c r="A229" s="18" t="n"/>
      <c r="B229" s="14" t="n"/>
      <c r="C229" s="14" t="n"/>
      <c r="D229" s="14" t="n"/>
      <c r="E229" s="15" t="n"/>
      <c r="F229" s="16" t="n"/>
      <c r="G229" s="13">
        <f>IF(C229="","",ROUND(E229*F229,2))</f>
        <v/>
      </c>
      <c r="H229" s="13">
        <f>IF(C229="","",IFERROR(VLOOKUP(C229,Inventory!$A$2:$J$501,9,FALSE),0))</f>
        <v/>
      </c>
      <c r="I229" s="13">
        <f>IF(C229="","",ROUND(E229*H229,2))</f>
        <v/>
      </c>
      <c r="J229" s="16" t="n"/>
      <c r="K229" s="16" t="n"/>
      <c r="L229" s="13">
        <f>IF(C229="","",ROUND(G229-I229-J229-K229,2))</f>
        <v/>
      </c>
      <c r="M229" s="15" t="n"/>
      <c r="N229" s="15" t="n"/>
      <c r="O229" s="12">
        <f>IF(C229="","",IFERROR(VLOOKUP(C229,Inventory!$A$2:$B$501,2,FALSE),"Unknown lot"))</f>
        <v/>
      </c>
      <c r="P229" s="12">
        <f>IF(D229="","",IFERROR(VLOOKUP(D229,Clients!$A$2:$B$501,2,FALSE),"Unknown client"))</f>
        <v/>
      </c>
      <c r="Q229" s="12">
        <f>IF(C229="","",IF(COUNTIF(Inventory!$A$2:$A$501,C229)&lt;&gt;1,"Check lot ID",IF(OR(A229="",B229="",E229="",F229=""),"Complete required fields",IF(COUNTIF($B$2:$B$501,B229)&gt;1,"Duplicate sale ID",IF(AND(D229&lt;&gt;"",COUNTIF(Clients!$A$2:$A$501,D229)&lt;&gt;1),"Check client ID",IF(VLOOKUP(C229,Inventory!$A$2:$L$501,12,FALSE)&lt;0,"OVER SOLD","OK"))))))</f>
        <v/>
      </c>
    </row>
    <row r="230" ht="23" customHeight="1">
      <c r="A230" s="17" t="n"/>
      <c r="B230" s="9" t="n"/>
      <c r="C230" s="9" t="n"/>
      <c r="D230" s="9" t="n"/>
      <c r="E230" s="10" t="n"/>
      <c r="F230" s="11" t="n"/>
      <c r="G230" s="13">
        <f>IF(C230="","",ROUND(E230*F230,2))</f>
        <v/>
      </c>
      <c r="H230" s="13">
        <f>IF(C230="","",IFERROR(VLOOKUP(C230,Inventory!$A$2:$J$501,9,FALSE),0))</f>
        <v/>
      </c>
      <c r="I230" s="13">
        <f>IF(C230="","",ROUND(E230*H230,2))</f>
        <v/>
      </c>
      <c r="J230" s="11" t="n"/>
      <c r="K230" s="11" t="n"/>
      <c r="L230" s="13">
        <f>IF(C230="","",ROUND(G230-I230-J230-K230,2))</f>
        <v/>
      </c>
      <c r="M230" s="10" t="n"/>
      <c r="N230" s="10" t="n"/>
      <c r="O230" s="12">
        <f>IF(C230="","",IFERROR(VLOOKUP(C230,Inventory!$A$2:$B$501,2,FALSE),"Unknown lot"))</f>
        <v/>
      </c>
      <c r="P230" s="12">
        <f>IF(D230="","",IFERROR(VLOOKUP(D230,Clients!$A$2:$B$501,2,FALSE),"Unknown client"))</f>
        <v/>
      </c>
      <c r="Q230" s="12">
        <f>IF(C230="","",IF(COUNTIF(Inventory!$A$2:$A$501,C230)&lt;&gt;1,"Check lot ID",IF(OR(A230="",B230="",E230="",F230=""),"Complete required fields",IF(COUNTIF($B$2:$B$501,B230)&gt;1,"Duplicate sale ID",IF(AND(D230&lt;&gt;"",COUNTIF(Clients!$A$2:$A$501,D230)&lt;&gt;1),"Check client ID",IF(VLOOKUP(C230,Inventory!$A$2:$L$501,12,FALSE)&lt;0,"OVER SOLD","OK"))))))</f>
        <v/>
      </c>
    </row>
    <row r="231" ht="23" customHeight="1">
      <c r="A231" s="18" t="n"/>
      <c r="B231" s="14" t="n"/>
      <c r="C231" s="14" t="n"/>
      <c r="D231" s="14" t="n"/>
      <c r="E231" s="15" t="n"/>
      <c r="F231" s="16" t="n"/>
      <c r="G231" s="13">
        <f>IF(C231="","",ROUND(E231*F231,2))</f>
        <v/>
      </c>
      <c r="H231" s="13">
        <f>IF(C231="","",IFERROR(VLOOKUP(C231,Inventory!$A$2:$J$501,9,FALSE),0))</f>
        <v/>
      </c>
      <c r="I231" s="13">
        <f>IF(C231="","",ROUND(E231*H231,2))</f>
        <v/>
      </c>
      <c r="J231" s="16" t="n"/>
      <c r="K231" s="16" t="n"/>
      <c r="L231" s="13">
        <f>IF(C231="","",ROUND(G231-I231-J231-K231,2))</f>
        <v/>
      </c>
      <c r="M231" s="15" t="n"/>
      <c r="N231" s="15" t="n"/>
      <c r="O231" s="12">
        <f>IF(C231="","",IFERROR(VLOOKUP(C231,Inventory!$A$2:$B$501,2,FALSE),"Unknown lot"))</f>
        <v/>
      </c>
      <c r="P231" s="12">
        <f>IF(D231="","",IFERROR(VLOOKUP(D231,Clients!$A$2:$B$501,2,FALSE),"Unknown client"))</f>
        <v/>
      </c>
      <c r="Q231" s="12">
        <f>IF(C231="","",IF(COUNTIF(Inventory!$A$2:$A$501,C231)&lt;&gt;1,"Check lot ID",IF(OR(A231="",B231="",E231="",F231=""),"Complete required fields",IF(COUNTIF($B$2:$B$501,B231)&gt;1,"Duplicate sale ID",IF(AND(D231&lt;&gt;"",COUNTIF(Clients!$A$2:$A$501,D231)&lt;&gt;1),"Check client ID",IF(VLOOKUP(C231,Inventory!$A$2:$L$501,12,FALSE)&lt;0,"OVER SOLD","OK"))))))</f>
        <v/>
      </c>
    </row>
    <row r="232" ht="23" customHeight="1">
      <c r="A232" s="17" t="n"/>
      <c r="B232" s="9" t="n"/>
      <c r="C232" s="9" t="n"/>
      <c r="D232" s="9" t="n"/>
      <c r="E232" s="10" t="n"/>
      <c r="F232" s="11" t="n"/>
      <c r="G232" s="13">
        <f>IF(C232="","",ROUND(E232*F232,2))</f>
        <v/>
      </c>
      <c r="H232" s="13">
        <f>IF(C232="","",IFERROR(VLOOKUP(C232,Inventory!$A$2:$J$501,9,FALSE),0))</f>
        <v/>
      </c>
      <c r="I232" s="13">
        <f>IF(C232="","",ROUND(E232*H232,2))</f>
        <v/>
      </c>
      <c r="J232" s="11" t="n"/>
      <c r="K232" s="11" t="n"/>
      <c r="L232" s="13">
        <f>IF(C232="","",ROUND(G232-I232-J232-K232,2))</f>
        <v/>
      </c>
      <c r="M232" s="10" t="n"/>
      <c r="N232" s="10" t="n"/>
      <c r="O232" s="12">
        <f>IF(C232="","",IFERROR(VLOOKUP(C232,Inventory!$A$2:$B$501,2,FALSE),"Unknown lot"))</f>
        <v/>
      </c>
      <c r="P232" s="12">
        <f>IF(D232="","",IFERROR(VLOOKUP(D232,Clients!$A$2:$B$501,2,FALSE),"Unknown client"))</f>
        <v/>
      </c>
      <c r="Q232" s="12">
        <f>IF(C232="","",IF(COUNTIF(Inventory!$A$2:$A$501,C232)&lt;&gt;1,"Check lot ID",IF(OR(A232="",B232="",E232="",F232=""),"Complete required fields",IF(COUNTIF($B$2:$B$501,B232)&gt;1,"Duplicate sale ID",IF(AND(D232&lt;&gt;"",COUNTIF(Clients!$A$2:$A$501,D232)&lt;&gt;1),"Check client ID",IF(VLOOKUP(C232,Inventory!$A$2:$L$501,12,FALSE)&lt;0,"OVER SOLD","OK"))))))</f>
        <v/>
      </c>
    </row>
    <row r="233" ht="23" customHeight="1">
      <c r="A233" s="18" t="n"/>
      <c r="B233" s="14" t="n"/>
      <c r="C233" s="14" t="n"/>
      <c r="D233" s="14" t="n"/>
      <c r="E233" s="15" t="n"/>
      <c r="F233" s="16" t="n"/>
      <c r="G233" s="13">
        <f>IF(C233="","",ROUND(E233*F233,2))</f>
        <v/>
      </c>
      <c r="H233" s="13">
        <f>IF(C233="","",IFERROR(VLOOKUP(C233,Inventory!$A$2:$J$501,9,FALSE),0))</f>
        <v/>
      </c>
      <c r="I233" s="13">
        <f>IF(C233="","",ROUND(E233*H233,2))</f>
        <v/>
      </c>
      <c r="J233" s="16" t="n"/>
      <c r="K233" s="16" t="n"/>
      <c r="L233" s="13">
        <f>IF(C233="","",ROUND(G233-I233-J233-K233,2))</f>
        <v/>
      </c>
      <c r="M233" s="15" t="n"/>
      <c r="N233" s="15" t="n"/>
      <c r="O233" s="12">
        <f>IF(C233="","",IFERROR(VLOOKUP(C233,Inventory!$A$2:$B$501,2,FALSE),"Unknown lot"))</f>
        <v/>
      </c>
      <c r="P233" s="12">
        <f>IF(D233="","",IFERROR(VLOOKUP(D233,Clients!$A$2:$B$501,2,FALSE),"Unknown client"))</f>
        <v/>
      </c>
      <c r="Q233" s="12">
        <f>IF(C233="","",IF(COUNTIF(Inventory!$A$2:$A$501,C233)&lt;&gt;1,"Check lot ID",IF(OR(A233="",B233="",E233="",F233=""),"Complete required fields",IF(COUNTIF($B$2:$B$501,B233)&gt;1,"Duplicate sale ID",IF(AND(D233&lt;&gt;"",COUNTIF(Clients!$A$2:$A$501,D233)&lt;&gt;1),"Check client ID",IF(VLOOKUP(C233,Inventory!$A$2:$L$501,12,FALSE)&lt;0,"OVER SOLD","OK"))))))</f>
        <v/>
      </c>
    </row>
    <row r="234" ht="23" customHeight="1">
      <c r="A234" s="17" t="n"/>
      <c r="B234" s="9" t="n"/>
      <c r="C234" s="9" t="n"/>
      <c r="D234" s="9" t="n"/>
      <c r="E234" s="10" t="n"/>
      <c r="F234" s="11" t="n"/>
      <c r="G234" s="13">
        <f>IF(C234="","",ROUND(E234*F234,2))</f>
        <v/>
      </c>
      <c r="H234" s="13">
        <f>IF(C234="","",IFERROR(VLOOKUP(C234,Inventory!$A$2:$J$501,9,FALSE),0))</f>
        <v/>
      </c>
      <c r="I234" s="13">
        <f>IF(C234="","",ROUND(E234*H234,2))</f>
        <v/>
      </c>
      <c r="J234" s="11" t="n"/>
      <c r="K234" s="11" t="n"/>
      <c r="L234" s="13">
        <f>IF(C234="","",ROUND(G234-I234-J234-K234,2))</f>
        <v/>
      </c>
      <c r="M234" s="10" t="n"/>
      <c r="N234" s="10" t="n"/>
      <c r="O234" s="12">
        <f>IF(C234="","",IFERROR(VLOOKUP(C234,Inventory!$A$2:$B$501,2,FALSE),"Unknown lot"))</f>
        <v/>
      </c>
      <c r="P234" s="12">
        <f>IF(D234="","",IFERROR(VLOOKUP(D234,Clients!$A$2:$B$501,2,FALSE),"Unknown client"))</f>
        <v/>
      </c>
      <c r="Q234" s="12">
        <f>IF(C234="","",IF(COUNTIF(Inventory!$A$2:$A$501,C234)&lt;&gt;1,"Check lot ID",IF(OR(A234="",B234="",E234="",F234=""),"Complete required fields",IF(COUNTIF($B$2:$B$501,B234)&gt;1,"Duplicate sale ID",IF(AND(D234&lt;&gt;"",COUNTIF(Clients!$A$2:$A$501,D234)&lt;&gt;1),"Check client ID",IF(VLOOKUP(C234,Inventory!$A$2:$L$501,12,FALSE)&lt;0,"OVER SOLD","OK"))))))</f>
        <v/>
      </c>
    </row>
    <row r="235" ht="23" customHeight="1">
      <c r="A235" s="18" t="n"/>
      <c r="B235" s="14" t="n"/>
      <c r="C235" s="14" t="n"/>
      <c r="D235" s="14" t="n"/>
      <c r="E235" s="15" t="n"/>
      <c r="F235" s="16" t="n"/>
      <c r="G235" s="13">
        <f>IF(C235="","",ROUND(E235*F235,2))</f>
        <v/>
      </c>
      <c r="H235" s="13">
        <f>IF(C235="","",IFERROR(VLOOKUP(C235,Inventory!$A$2:$J$501,9,FALSE),0))</f>
        <v/>
      </c>
      <c r="I235" s="13">
        <f>IF(C235="","",ROUND(E235*H235,2))</f>
        <v/>
      </c>
      <c r="J235" s="16" t="n"/>
      <c r="K235" s="16" t="n"/>
      <c r="L235" s="13">
        <f>IF(C235="","",ROUND(G235-I235-J235-K235,2))</f>
        <v/>
      </c>
      <c r="M235" s="15" t="n"/>
      <c r="N235" s="15" t="n"/>
      <c r="O235" s="12">
        <f>IF(C235="","",IFERROR(VLOOKUP(C235,Inventory!$A$2:$B$501,2,FALSE),"Unknown lot"))</f>
        <v/>
      </c>
      <c r="P235" s="12">
        <f>IF(D235="","",IFERROR(VLOOKUP(D235,Clients!$A$2:$B$501,2,FALSE),"Unknown client"))</f>
        <v/>
      </c>
      <c r="Q235" s="12">
        <f>IF(C235="","",IF(COUNTIF(Inventory!$A$2:$A$501,C235)&lt;&gt;1,"Check lot ID",IF(OR(A235="",B235="",E235="",F235=""),"Complete required fields",IF(COUNTIF($B$2:$B$501,B235)&gt;1,"Duplicate sale ID",IF(AND(D235&lt;&gt;"",COUNTIF(Clients!$A$2:$A$501,D235)&lt;&gt;1),"Check client ID",IF(VLOOKUP(C235,Inventory!$A$2:$L$501,12,FALSE)&lt;0,"OVER SOLD","OK"))))))</f>
        <v/>
      </c>
    </row>
    <row r="236" ht="23" customHeight="1">
      <c r="A236" s="17" t="n"/>
      <c r="B236" s="9" t="n"/>
      <c r="C236" s="9" t="n"/>
      <c r="D236" s="9" t="n"/>
      <c r="E236" s="10" t="n"/>
      <c r="F236" s="11" t="n"/>
      <c r="G236" s="13">
        <f>IF(C236="","",ROUND(E236*F236,2))</f>
        <v/>
      </c>
      <c r="H236" s="13">
        <f>IF(C236="","",IFERROR(VLOOKUP(C236,Inventory!$A$2:$J$501,9,FALSE),0))</f>
        <v/>
      </c>
      <c r="I236" s="13">
        <f>IF(C236="","",ROUND(E236*H236,2))</f>
        <v/>
      </c>
      <c r="J236" s="11" t="n"/>
      <c r="K236" s="11" t="n"/>
      <c r="L236" s="13">
        <f>IF(C236="","",ROUND(G236-I236-J236-K236,2))</f>
        <v/>
      </c>
      <c r="M236" s="10" t="n"/>
      <c r="N236" s="10" t="n"/>
      <c r="O236" s="12">
        <f>IF(C236="","",IFERROR(VLOOKUP(C236,Inventory!$A$2:$B$501,2,FALSE),"Unknown lot"))</f>
        <v/>
      </c>
      <c r="P236" s="12">
        <f>IF(D236="","",IFERROR(VLOOKUP(D236,Clients!$A$2:$B$501,2,FALSE),"Unknown client"))</f>
        <v/>
      </c>
      <c r="Q236" s="12">
        <f>IF(C236="","",IF(COUNTIF(Inventory!$A$2:$A$501,C236)&lt;&gt;1,"Check lot ID",IF(OR(A236="",B236="",E236="",F236=""),"Complete required fields",IF(COUNTIF($B$2:$B$501,B236)&gt;1,"Duplicate sale ID",IF(AND(D236&lt;&gt;"",COUNTIF(Clients!$A$2:$A$501,D236)&lt;&gt;1),"Check client ID",IF(VLOOKUP(C236,Inventory!$A$2:$L$501,12,FALSE)&lt;0,"OVER SOLD","OK"))))))</f>
        <v/>
      </c>
    </row>
    <row r="237" ht="23" customHeight="1">
      <c r="A237" s="18" t="n"/>
      <c r="B237" s="14" t="n"/>
      <c r="C237" s="14" t="n"/>
      <c r="D237" s="14" t="n"/>
      <c r="E237" s="15" t="n"/>
      <c r="F237" s="16" t="n"/>
      <c r="G237" s="13">
        <f>IF(C237="","",ROUND(E237*F237,2))</f>
        <v/>
      </c>
      <c r="H237" s="13">
        <f>IF(C237="","",IFERROR(VLOOKUP(C237,Inventory!$A$2:$J$501,9,FALSE),0))</f>
        <v/>
      </c>
      <c r="I237" s="13">
        <f>IF(C237="","",ROUND(E237*H237,2))</f>
        <v/>
      </c>
      <c r="J237" s="16" t="n"/>
      <c r="K237" s="16" t="n"/>
      <c r="L237" s="13">
        <f>IF(C237="","",ROUND(G237-I237-J237-K237,2))</f>
        <v/>
      </c>
      <c r="M237" s="15" t="n"/>
      <c r="N237" s="15" t="n"/>
      <c r="O237" s="12">
        <f>IF(C237="","",IFERROR(VLOOKUP(C237,Inventory!$A$2:$B$501,2,FALSE),"Unknown lot"))</f>
        <v/>
      </c>
      <c r="P237" s="12">
        <f>IF(D237="","",IFERROR(VLOOKUP(D237,Clients!$A$2:$B$501,2,FALSE),"Unknown client"))</f>
        <v/>
      </c>
      <c r="Q237" s="12">
        <f>IF(C237="","",IF(COUNTIF(Inventory!$A$2:$A$501,C237)&lt;&gt;1,"Check lot ID",IF(OR(A237="",B237="",E237="",F237=""),"Complete required fields",IF(COUNTIF($B$2:$B$501,B237)&gt;1,"Duplicate sale ID",IF(AND(D237&lt;&gt;"",COUNTIF(Clients!$A$2:$A$501,D237)&lt;&gt;1),"Check client ID",IF(VLOOKUP(C237,Inventory!$A$2:$L$501,12,FALSE)&lt;0,"OVER SOLD","OK"))))))</f>
        <v/>
      </c>
    </row>
    <row r="238" ht="23" customHeight="1">
      <c r="A238" s="17" t="n"/>
      <c r="B238" s="9" t="n"/>
      <c r="C238" s="9" t="n"/>
      <c r="D238" s="9" t="n"/>
      <c r="E238" s="10" t="n"/>
      <c r="F238" s="11" t="n"/>
      <c r="G238" s="13">
        <f>IF(C238="","",ROUND(E238*F238,2))</f>
        <v/>
      </c>
      <c r="H238" s="13">
        <f>IF(C238="","",IFERROR(VLOOKUP(C238,Inventory!$A$2:$J$501,9,FALSE),0))</f>
        <v/>
      </c>
      <c r="I238" s="13">
        <f>IF(C238="","",ROUND(E238*H238,2))</f>
        <v/>
      </c>
      <c r="J238" s="11" t="n"/>
      <c r="K238" s="11" t="n"/>
      <c r="L238" s="13">
        <f>IF(C238="","",ROUND(G238-I238-J238-K238,2))</f>
        <v/>
      </c>
      <c r="M238" s="10" t="n"/>
      <c r="N238" s="10" t="n"/>
      <c r="O238" s="12">
        <f>IF(C238="","",IFERROR(VLOOKUP(C238,Inventory!$A$2:$B$501,2,FALSE),"Unknown lot"))</f>
        <v/>
      </c>
      <c r="P238" s="12">
        <f>IF(D238="","",IFERROR(VLOOKUP(D238,Clients!$A$2:$B$501,2,FALSE),"Unknown client"))</f>
        <v/>
      </c>
      <c r="Q238" s="12">
        <f>IF(C238="","",IF(COUNTIF(Inventory!$A$2:$A$501,C238)&lt;&gt;1,"Check lot ID",IF(OR(A238="",B238="",E238="",F238=""),"Complete required fields",IF(COUNTIF($B$2:$B$501,B238)&gt;1,"Duplicate sale ID",IF(AND(D238&lt;&gt;"",COUNTIF(Clients!$A$2:$A$501,D238)&lt;&gt;1),"Check client ID",IF(VLOOKUP(C238,Inventory!$A$2:$L$501,12,FALSE)&lt;0,"OVER SOLD","OK"))))))</f>
        <v/>
      </c>
    </row>
    <row r="239" ht="23" customHeight="1">
      <c r="A239" s="18" t="n"/>
      <c r="B239" s="14" t="n"/>
      <c r="C239" s="14" t="n"/>
      <c r="D239" s="14" t="n"/>
      <c r="E239" s="15" t="n"/>
      <c r="F239" s="16" t="n"/>
      <c r="G239" s="13">
        <f>IF(C239="","",ROUND(E239*F239,2))</f>
        <v/>
      </c>
      <c r="H239" s="13">
        <f>IF(C239="","",IFERROR(VLOOKUP(C239,Inventory!$A$2:$J$501,9,FALSE),0))</f>
        <v/>
      </c>
      <c r="I239" s="13">
        <f>IF(C239="","",ROUND(E239*H239,2))</f>
        <v/>
      </c>
      <c r="J239" s="16" t="n"/>
      <c r="K239" s="16" t="n"/>
      <c r="L239" s="13">
        <f>IF(C239="","",ROUND(G239-I239-J239-K239,2))</f>
        <v/>
      </c>
      <c r="M239" s="15" t="n"/>
      <c r="N239" s="15" t="n"/>
      <c r="O239" s="12">
        <f>IF(C239="","",IFERROR(VLOOKUP(C239,Inventory!$A$2:$B$501,2,FALSE),"Unknown lot"))</f>
        <v/>
      </c>
      <c r="P239" s="12">
        <f>IF(D239="","",IFERROR(VLOOKUP(D239,Clients!$A$2:$B$501,2,FALSE),"Unknown client"))</f>
        <v/>
      </c>
      <c r="Q239" s="12">
        <f>IF(C239="","",IF(COUNTIF(Inventory!$A$2:$A$501,C239)&lt;&gt;1,"Check lot ID",IF(OR(A239="",B239="",E239="",F239=""),"Complete required fields",IF(COUNTIF($B$2:$B$501,B239)&gt;1,"Duplicate sale ID",IF(AND(D239&lt;&gt;"",COUNTIF(Clients!$A$2:$A$501,D239)&lt;&gt;1),"Check client ID",IF(VLOOKUP(C239,Inventory!$A$2:$L$501,12,FALSE)&lt;0,"OVER SOLD","OK"))))))</f>
        <v/>
      </c>
    </row>
    <row r="240" ht="23" customHeight="1">
      <c r="A240" s="17" t="n"/>
      <c r="B240" s="9" t="n"/>
      <c r="C240" s="9" t="n"/>
      <c r="D240" s="9" t="n"/>
      <c r="E240" s="10" t="n"/>
      <c r="F240" s="11" t="n"/>
      <c r="G240" s="13">
        <f>IF(C240="","",ROUND(E240*F240,2))</f>
        <v/>
      </c>
      <c r="H240" s="13">
        <f>IF(C240="","",IFERROR(VLOOKUP(C240,Inventory!$A$2:$J$501,9,FALSE),0))</f>
        <v/>
      </c>
      <c r="I240" s="13">
        <f>IF(C240="","",ROUND(E240*H240,2))</f>
        <v/>
      </c>
      <c r="J240" s="11" t="n"/>
      <c r="K240" s="11" t="n"/>
      <c r="L240" s="13">
        <f>IF(C240="","",ROUND(G240-I240-J240-K240,2))</f>
        <v/>
      </c>
      <c r="M240" s="10" t="n"/>
      <c r="N240" s="10" t="n"/>
      <c r="O240" s="12">
        <f>IF(C240="","",IFERROR(VLOOKUP(C240,Inventory!$A$2:$B$501,2,FALSE),"Unknown lot"))</f>
        <v/>
      </c>
      <c r="P240" s="12">
        <f>IF(D240="","",IFERROR(VLOOKUP(D240,Clients!$A$2:$B$501,2,FALSE),"Unknown client"))</f>
        <v/>
      </c>
      <c r="Q240" s="12">
        <f>IF(C240="","",IF(COUNTIF(Inventory!$A$2:$A$501,C240)&lt;&gt;1,"Check lot ID",IF(OR(A240="",B240="",E240="",F240=""),"Complete required fields",IF(COUNTIF($B$2:$B$501,B240)&gt;1,"Duplicate sale ID",IF(AND(D240&lt;&gt;"",COUNTIF(Clients!$A$2:$A$501,D240)&lt;&gt;1),"Check client ID",IF(VLOOKUP(C240,Inventory!$A$2:$L$501,12,FALSE)&lt;0,"OVER SOLD","OK"))))))</f>
        <v/>
      </c>
    </row>
    <row r="241" ht="23" customHeight="1">
      <c r="A241" s="18" t="n"/>
      <c r="B241" s="14" t="n"/>
      <c r="C241" s="14" t="n"/>
      <c r="D241" s="14" t="n"/>
      <c r="E241" s="15" t="n"/>
      <c r="F241" s="16" t="n"/>
      <c r="G241" s="13">
        <f>IF(C241="","",ROUND(E241*F241,2))</f>
        <v/>
      </c>
      <c r="H241" s="13">
        <f>IF(C241="","",IFERROR(VLOOKUP(C241,Inventory!$A$2:$J$501,9,FALSE),0))</f>
        <v/>
      </c>
      <c r="I241" s="13">
        <f>IF(C241="","",ROUND(E241*H241,2))</f>
        <v/>
      </c>
      <c r="J241" s="16" t="n"/>
      <c r="K241" s="16" t="n"/>
      <c r="L241" s="13">
        <f>IF(C241="","",ROUND(G241-I241-J241-K241,2))</f>
        <v/>
      </c>
      <c r="M241" s="15" t="n"/>
      <c r="N241" s="15" t="n"/>
      <c r="O241" s="12">
        <f>IF(C241="","",IFERROR(VLOOKUP(C241,Inventory!$A$2:$B$501,2,FALSE),"Unknown lot"))</f>
        <v/>
      </c>
      <c r="P241" s="12">
        <f>IF(D241="","",IFERROR(VLOOKUP(D241,Clients!$A$2:$B$501,2,FALSE),"Unknown client"))</f>
        <v/>
      </c>
      <c r="Q241" s="12">
        <f>IF(C241="","",IF(COUNTIF(Inventory!$A$2:$A$501,C241)&lt;&gt;1,"Check lot ID",IF(OR(A241="",B241="",E241="",F241=""),"Complete required fields",IF(COUNTIF($B$2:$B$501,B241)&gt;1,"Duplicate sale ID",IF(AND(D241&lt;&gt;"",COUNTIF(Clients!$A$2:$A$501,D241)&lt;&gt;1),"Check client ID",IF(VLOOKUP(C241,Inventory!$A$2:$L$501,12,FALSE)&lt;0,"OVER SOLD","OK"))))))</f>
        <v/>
      </c>
    </row>
    <row r="242" ht="23" customHeight="1">
      <c r="A242" s="17" t="n"/>
      <c r="B242" s="9" t="n"/>
      <c r="C242" s="9" t="n"/>
      <c r="D242" s="9" t="n"/>
      <c r="E242" s="10" t="n"/>
      <c r="F242" s="11" t="n"/>
      <c r="G242" s="13">
        <f>IF(C242="","",ROUND(E242*F242,2))</f>
        <v/>
      </c>
      <c r="H242" s="13">
        <f>IF(C242="","",IFERROR(VLOOKUP(C242,Inventory!$A$2:$J$501,9,FALSE),0))</f>
        <v/>
      </c>
      <c r="I242" s="13">
        <f>IF(C242="","",ROUND(E242*H242,2))</f>
        <v/>
      </c>
      <c r="J242" s="11" t="n"/>
      <c r="K242" s="11" t="n"/>
      <c r="L242" s="13">
        <f>IF(C242="","",ROUND(G242-I242-J242-K242,2))</f>
        <v/>
      </c>
      <c r="M242" s="10" t="n"/>
      <c r="N242" s="10" t="n"/>
      <c r="O242" s="12">
        <f>IF(C242="","",IFERROR(VLOOKUP(C242,Inventory!$A$2:$B$501,2,FALSE),"Unknown lot"))</f>
        <v/>
      </c>
      <c r="P242" s="12">
        <f>IF(D242="","",IFERROR(VLOOKUP(D242,Clients!$A$2:$B$501,2,FALSE),"Unknown client"))</f>
        <v/>
      </c>
      <c r="Q242" s="12">
        <f>IF(C242="","",IF(COUNTIF(Inventory!$A$2:$A$501,C242)&lt;&gt;1,"Check lot ID",IF(OR(A242="",B242="",E242="",F242=""),"Complete required fields",IF(COUNTIF($B$2:$B$501,B242)&gt;1,"Duplicate sale ID",IF(AND(D242&lt;&gt;"",COUNTIF(Clients!$A$2:$A$501,D242)&lt;&gt;1),"Check client ID",IF(VLOOKUP(C242,Inventory!$A$2:$L$501,12,FALSE)&lt;0,"OVER SOLD","OK"))))))</f>
        <v/>
      </c>
    </row>
    <row r="243" ht="23" customHeight="1">
      <c r="A243" s="18" t="n"/>
      <c r="B243" s="14" t="n"/>
      <c r="C243" s="14" t="n"/>
      <c r="D243" s="14" t="n"/>
      <c r="E243" s="15" t="n"/>
      <c r="F243" s="16" t="n"/>
      <c r="G243" s="13">
        <f>IF(C243="","",ROUND(E243*F243,2))</f>
        <v/>
      </c>
      <c r="H243" s="13">
        <f>IF(C243="","",IFERROR(VLOOKUP(C243,Inventory!$A$2:$J$501,9,FALSE),0))</f>
        <v/>
      </c>
      <c r="I243" s="13">
        <f>IF(C243="","",ROUND(E243*H243,2))</f>
        <v/>
      </c>
      <c r="J243" s="16" t="n"/>
      <c r="K243" s="16" t="n"/>
      <c r="L243" s="13">
        <f>IF(C243="","",ROUND(G243-I243-J243-K243,2))</f>
        <v/>
      </c>
      <c r="M243" s="15" t="n"/>
      <c r="N243" s="15" t="n"/>
      <c r="O243" s="12">
        <f>IF(C243="","",IFERROR(VLOOKUP(C243,Inventory!$A$2:$B$501,2,FALSE),"Unknown lot"))</f>
        <v/>
      </c>
      <c r="P243" s="12">
        <f>IF(D243="","",IFERROR(VLOOKUP(D243,Clients!$A$2:$B$501,2,FALSE),"Unknown client"))</f>
        <v/>
      </c>
      <c r="Q243" s="12">
        <f>IF(C243="","",IF(COUNTIF(Inventory!$A$2:$A$501,C243)&lt;&gt;1,"Check lot ID",IF(OR(A243="",B243="",E243="",F243=""),"Complete required fields",IF(COUNTIF($B$2:$B$501,B243)&gt;1,"Duplicate sale ID",IF(AND(D243&lt;&gt;"",COUNTIF(Clients!$A$2:$A$501,D243)&lt;&gt;1),"Check client ID",IF(VLOOKUP(C243,Inventory!$A$2:$L$501,12,FALSE)&lt;0,"OVER SOLD","OK"))))))</f>
        <v/>
      </c>
    </row>
    <row r="244" ht="23" customHeight="1">
      <c r="A244" s="17" t="n"/>
      <c r="B244" s="9" t="n"/>
      <c r="C244" s="9" t="n"/>
      <c r="D244" s="9" t="n"/>
      <c r="E244" s="10" t="n"/>
      <c r="F244" s="11" t="n"/>
      <c r="G244" s="13">
        <f>IF(C244="","",ROUND(E244*F244,2))</f>
        <v/>
      </c>
      <c r="H244" s="13">
        <f>IF(C244="","",IFERROR(VLOOKUP(C244,Inventory!$A$2:$J$501,9,FALSE),0))</f>
        <v/>
      </c>
      <c r="I244" s="13">
        <f>IF(C244="","",ROUND(E244*H244,2))</f>
        <v/>
      </c>
      <c r="J244" s="11" t="n"/>
      <c r="K244" s="11" t="n"/>
      <c r="L244" s="13">
        <f>IF(C244="","",ROUND(G244-I244-J244-K244,2))</f>
        <v/>
      </c>
      <c r="M244" s="10" t="n"/>
      <c r="N244" s="10" t="n"/>
      <c r="O244" s="12">
        <f>IF(C244="","",IFERROR(VLOOKUP(C244,Inventory!$A$2:$B$501,2,FALSE),"Unknown lot"))</f>
        <v/>
      </c>
      <c r="P244" s="12">
        <f>IF(D244="","",IFERROR(VLOOKUP(D244,Clients!$A$2:$B$501,2,FALSE),"Unknown client"))</f>
        <v/>
      </c>
      <c r="Q244" s="12">
        <f>IF(C244="","",IF(COUNTIF(Inventory!$A$2:$A$501,C244)&lt;&gt;1,"Check lot ID",IF(OR(A244="",B244="",E244="",F244=""),"Complete required fields",IF(COUNTIF($B$2:$B$501,B244)&gt;1,"Duplicate sale ID",IF(AND(D244&lt;&gt;"",COUNTIF(Clients!$A$2:$A$501,D244)&lt;&gt;1),"Check client ID",IF(VLOOKUP(C244,Inventory!$A$2:$L$501,12,FALSE)&lt;0,"OVER SOLD","OK"))))))</f>
        <v/>
      </c>
    </row>
    <row r="245" ht="23" customHeight="1">
      <c r="A245" s="18" t="n"/>
      <c r="B245" s="14" t="n"/>
      <c r="C245" s="14" t="n"/>
      <c r="D245" s="14" t="n"/>
      <c r="E245" s="15" t="n"/>
      <c r="F245" s="16" t="n"/>
      <c r="G245" s="13">
        <f>IF(C245="","",ROUND(E245*F245,2))</f>
        <v/>
      </c>
      <c r="H245" s="13">
        <f>IF(C245="","",IFERROR(VLOOKUP(C245,Inventory!$A$2:$J$501,9,FALSE),0))</f>
        <v/>
      </c>
      <c r="I245" s="13">
        <f>IF(C245="","",ROUND(E245*H245,2))</f>
        <v/>
      </c>
      <c r="J245" s="16" t="n"/>
      <c r="K245" s="16" t="n"/>
      <c r="L245" s="13">
        <f>IF(C245="","",ROUND(G245-I245-J245-K245,2))</f>
        <v/>
      </c>
      <c r="M245" s="15" t="n"/>
      <c r="N245" s="15" t="n"/>
      <c r="O245" s="12">
        <f>IF(C245="","",IFERROR(VLOOKUP(C245,Inventory!$A$2:$B$501,2,FALSE),"Unknown lot"))</f>
        <v/>
      </c>
      <c r="P245" s="12">
        <f>IF(D245="","",IFERROR(VLOOKUP(D245,Clients!$A$2:$B$501,2,FALSE),"Unknown client"))</f>
        <v/>
      </c>
      <c r="Q245" s="12">
        <f>IF(C245="","",IF(COUNTIF(Inventory!$A$2:$A$501,C245)&lt;&gt;1,"Check lot ID",IF(OR(A245="",B245="",E245="",F245=""),"Complete required fields",IF(COUNTIF($B$2:$B$501,B245)&gt;1,"Duplicate sale ID",IF(AND(D245&lt;&gt;"",COUNTIF(Clients!$A$2:$A$501,D245)&lt;&gt;1),"Check client ID",IF(VLOOKUP(C245,Inventory!$A$2:$L$501,12,FALSE)&lt;0,"OVER SOLD","OK"))))))</f>
        <v/>
      </c>
    </row>
    <row r="246" ht="23" customHeight="1">
      <c r="A246" s="17" t="n"/>
      <c r="B246" s="9" t="n"/>
      <c r="C246" s="9" t="n"/>
      <c r="D246" s="9" t="n"/>
      <c r="E246" s="10" t="n"/>
      <c r="F246" s="11" t="n"/>
      <c r="G246" s="13">
        <f>IF(C246="","",ROUND(E246*F246,2))</f>
        <v/>
      </c>
      <c r="H246" s="13">
        <f>IF(C246="","",IFERROR(VLOOKUP(C246,Inventory!$A$2:$J$501,9,FALSE),0))</f>
        <v/>
      </c>
      <c r="I246" s="13">
        <f>IF(C246="","",ROUND(E246*H246,2))</f>
        <v/>
      </c>
      <c r="J246" s="11" t="n"/>
      <c r="K246" s="11" t="n"/>
      <c r="L246" s="13">
        <f>IF(C246="","",ROUND(G246-I246-J246-K246,2))</f>
        <v/>
      </c>
      <c r="M246" s="10" t="n"/>
      <c r="N246" s="10" t="n"/>
      <c r="O246" s="12">
        <f>IF(C246="","",IFERROR(VLOOKUP(C246,Inventory!$A$2:$B$501,2,FALSE),"Unknown lot"))</f>
        <v/>
      </c>
      <c r="P246" s="12">
        <f>IF(D246="","",IFERROR(VLOOKUP(D246,Clients!$A$2:$B$501,2,FALSE),"Unknown client"))</f>
        <v/>
      </c>
      <c r="Q246" s="12">
        <f>IF(C246="","",IF(COUNTIF(Inventory!$A$2:$A$501,C246)&lt;&gt;1,"Check lot ID",IF(OR(A246="",B246="",E246="",F246=""),"Complete required fields",IF(COUNTIF($B$2:$B$501,B246)&gt;1,"Duplicate sale ID",IF(AND(D246&lt;&gt;"",COUNTIF(Clients!$A$2:$A$501,D246)&lt;&gt;1),"Check client ID",IF(VLOOKUP(C246,Inventory!$A$2:$L$501,12,FALSE)&lt;0,"OVER SOLD","OK"))))))</f>
        <v/>
      </c>
    </row>
    <row r="247" ht="23" customHeight="1">
      <c r="A247" s="18" t="n"/>
      <c r="B247" s="14" t="n"/>
      <c r="C247" s="14" t="n"/>
      <c r="D247" s="14" t="n"/>
      <c r="E247" s="15" t="n"/>
      <c r="F247" s="16" t="n"/>
      <c r="G247" s="13">
        <f>IF(C247="","",ROUND(E247*F247,2))</f>
        <v/>
      </c>
      <c r="H247" s="13">
        <f>IF(C247="","",IFERROR(VLOOKUP(C247,Inventory!$A$2:$J$501,9,FALSE),0))</f>
        <v/>
      </c>
      <c r="I247" s="13">
        <f>IF(C247="","",ROUND(E247*H247,2))</f>
        <v/>
      </c>
      <c r="J247" s="16" t="n"/>
      <c r="K247" s="16" t="n"/>
      <c r="L247" s="13">
        <f>IF(C247="","",ROUND(G247-I247-J247-K247,2))</f>
        <v/>
      </c>
      <c r="M247" s="15" t="n"/>
      <c r="N247" s="15" t="n"/>
      <c r="O247" s="12">
        <f>IF(C247="","",IFERROR(VLOOKUP(C247,Inventory!$A$2:$B$501,2,FALSE),"Unknown lot"))</f>
        <v/>
      </c>
      <c r="P247" s="12">
        <f>IF(D247="","",IFERROR(VLOOKUP(D247,Clients!$A$2:$B$501,2,FALSE),"Unknown client"))</f>
        <v/>
      </c>
      <c r="Q247" s="12">
        <f>IF(C247="","",IF(COUNTIF(Inventory!$A$2:$A$501,C247)&lt;&gt;1,"Check lot ID",IF(OR(A247="",B247="",E247="",F247=""),"Complete required fields",IF(COUNTIF($B$2:$B$501,B247)&gt;1,"Duplicate sale ID",IF(AND(D247&lt;&gt;"",COUNTIF(Clients!$A$2:$A$501,D247)&lt;&gt;1),"Check client ID",IF(VLOOKUP(C247,Inventory!$A$2:$L$501,12,FALSE)&lt;0,"OVER SOLD","OK"))))))</f>
        <v/>
      </c>
    </row>
    <row r="248" ht="23" customHeight="1">
      <c r="A248" s="17" t="n"/>
      <c r="B248" s="9" t="n"/>
      <c r="C248" s="9" t="n"/>
      <c r="D248" s="9" t="n"/>
      <c r="E248" s="10" t="n"/>
      <c r="F248" s="11" t="n"/>
      <c r="G248" s="13">
        <f>IF(C248="","",ROUND(E248*F248,2))</f>
        <v/>
      </c>
      <c r="H248" s="13">
        <f>IF(C248="","",IFERROR(VLOOKUP(C248,Inventory!$A$2:$J$501,9,FALSE),0))</f>
        <v/>
      </c>
      <c r="I248" s="13">
        <f>IF(C248="","",ROUND(E248*H248,2))</f>
        <v/>
      </c>
      <c r="J248" s="11" t="n"/>
      <c r="K248" s="11" t="n"/>
      <c r="L248" s="13">
        <f>IF(C248="","",ROUND(G248-I248-J248-K248,2))</f>
        <v/>
      </c>
      <c r="M248" s="10" t="n"/>
      <c r="N248" s="10" t="n"/>
      <c r="O248" s="12">
        <f>IF(C248="","",IFERROR(VLOOKUP(C248,Inventory!$A$2:$B$501,2,FALSE),"Unknown lot"))</f>
        <v/>
      </c>
      <c r="P248" s="12">
        <f>IF(D248="","",IFERROR(VLOOKUP(D248,Clients!$A$2:$B$501,2,FALSE),"Unknown client"))</f>
        <v/>
      </c>
      <c r="Q248" s="12">
        <f>IF(C248="","",IF(COUNTIF(Inventory!$A$2:$A$501,C248)&lt;&gt;1,"Check lot ID",IF(OR(A248="",B248="",E248="",F248=""),"Complete required fields",IF(COUNTIF($B$2:$B$501,B248)&gt;1,"Duplicate sale ID",IF(AND(D248&lt;&gt;"",COUNTIF(Clients!$A$2:$A$501,D248)&lt;&gt;1),"Check client ID",IF(VLOOKUP(C248,Inventory!$A$2:$L$501,12,FALSE)&lt;0,"OVER SOLD","OK"))))))</f>
        <v/>
      </c>
    </row>
    <row r="249" ht="23" customHeight="1">
      <c r="A249" s="18" t="n"/>
      <c r="B249" s="14" t="n"/>
      <c r="C249" s="14" t="n"/>
      <c r="D249" s="14" t="n"/>
      <c r="E249" s="15" t="n"/>
      <c r="F249" s="16" t="n"/>
      <c r="G249" s="13">
        <f>IF(C249="","",ROUND(E249*F249,2))</f>
        <v/>
      </c>
      <c r="H249" s="13">
        <f>IF(C249="","",IFERROR(VLOOKUP(C249,Inventory!$A$2:$J$501,9,FALSE),0))</f>
        <v/>
      </c>
      <c r="I249" s="13">
        <f>IF(C249="","",ROUND(E249*H249,2))</f>
        <v/>
      </c>
      <c r="J249" s="16" t="n"/>
      <c r="K249" s="16" t="n"/>
      <c r="L249" s="13">
        <f>IF(C249="","",ROUND(G249-I249-J249-K249,2))</f>
        <v/>
      </c>
      <c r="M249" s="15" t="n"/>
      <c r="N249" s="15" t="n"/>
      <c r="O249" s="12">
        <f>IF(C249="","",IFERROR(VLOOKUP(C249,Inventory!$A$2:$B$501,2,FALSE),"Unknown lot"))</f>
        <v/>
      </c>
      <c r="P249" s="12">
        <f>IF(D249="","",IFERROR(VLOOKUP(D249,Clients!$A$2:$B$501,2,FALSE),"Unknown client"))</f>
        <v/>
      </c>
      <c r="Q249" s="12">
        <f>IF(C249="","",IF(COUNTIF(Inventory!$A$2:$A$501,C249)&lt;&gt;1,"Check lot ID",IF(OR(A249="",B249="",E249="",F249=""),"Complete required fields",IF(COUNTIF($B$2:$B$501,B249)&gt;1,"Duplicate sale ID",IF(AND(D249&lt;&gt;"",COUNTIF(Clients!$A$2:$A$501,D249)&lt;&gt;1),"Check client ID",IF(VLOOKUP(C249,Inventory!$A$2:$L$501,12,FALSE)&lt;0,"OVER SOLD","OK"))))))</f>
        <v/>
      </c>
    </row>
    <row r="250" ht="23" customHeight="1">
      <c r="A250" s="17" t="n"/>
      <c r="B250" s="9" t="n"/>
      <c r="C250" s="9" t="n"/>
      <c r="D250" s="9" t="n"/>
      <c r="E250" s="10" t="n"/>
      <c r="F250" s="11" t="n"/>
      <c r="G250" s="13">
        <f>IF(C250="","",ROUND(E250*F250,2))</f>
        <v/>
      </c>
      <c r="H250" s="13">
        <f>IF(C250="","",IFERROR(VLOOKUP(C250,Inventory!$A$2:$J$501,9,FALSE),0))</f>
        <v/>
      </c>
      <c r="I250" s="13">
        <f>IF(C250="","",ROUND(E250*H250,2))</f>
        <v/>
      </c>
      <c r="J250" s="11" t="n"/>
      <c r="K250" s="11" t="n"/>
      <c r="L250" s="13">
        <f>IF(C250="","",ROUND(G250-I250-J250-K250,2))</f>
        <v/>
      </c>
      <c r="M250" s="10" t="n"/>
      <c r="N250" s="10" t="n"/>
      <c r="O250" s="12">
        <f>IF(C250="","",IFERROR(VLOOKUP(C250,Inventory!$A$2:$B$501,2,FALSE),"Unknown lot"))</f>
        <v/>
      </c>
      <c r="P250" s="12">
        <f>IF(D250="","",IFERROR(VLOOKUP(D250,Clients!$A$2:$B$501,2,FALSE),"Unknown client"))</f>
        <v/>
      </c>
      <c r="Q250" s="12">
        <f>IF(C250="","",IF(COUNTIF(Inventory!$A$2:$A$501,C250)&lt;&gt;1,"Check lot ID",IF(OR(A250="",B250="",E250="",F250=""),"Complete required fields",IF(COUNTIF($B$2:$B$501,B250)&gt;1,"Duplicate sale ID",IF(AND(D250&lt;&gt;"",COUNTIF(Clients!$A$2:$A$501,D250)&lt;&gt;1),"Check client ID",IF(VLOOKUP(C250,Inventory!$A$2:$L$501,12,FALSE)&lt;0,"OVER SOLD","OK"))))))</f>
        <v/>
      </c>
    </row>
    <row r="251" ht="23" customHeight="1">
      <c r="A251" s="18" t="n"/>
      <c r="B251" s="14" t="n"/>
      <c r="C251" s="14" t="n"/>
      <c r="D251" s="14" t="n"/>
      <c r="E251" s="15" t="n"/>
      <c r="F251" s="16" t="n"/>
      <c r="G251" s="13">
        <f>IF(C251="","",ROUND(E251*F251,2))</f>
        <v/>
      </c>
      <c r="H251" s="13">
        <f>IF(C251="","",IFERROR(VLOOKUP(C251,Inventory!$A$2:$J$501,9,FALSE),0))</f>
        <v/>
      </c>
      <c r="I251" s="13">
        <f>IF(C251="","",ROUND(E251*H251,2))</f>
        <v/>
      </c>
      <c r="J251" s="16" t="n"/>
      <c r="K251" s="16" t="n"/>
      <c r="L251" s="13">
        <f>IF(C251="","",ROUND(G251-I251-J251-K251,2))</f>
        <v/>
      </c>
      <c r="M251" s="15" t="n"/>
      <c r="N251" s="15" t="n"/>
      <c r="O251" s="12">
        <f>IF(C251="","",IFERROR(VLOOKUP(C251,Inventory!$A$2:$B$501,2,FALSE),"Unknown lot"))</f>
        <v/>
      </c>
      <c r="P251" s="12">
        <f>IF(D251="","",IFERROR(VLOOKUP(D251,Clients!$A$2:$B$501,2,FALSE),"Unknown client"))</f>
        <v/>
      </c>
      <c r="Q251" s="12">
        <f>IF(C251="","",IF(COUNTIF(Inventory!$A$2:$A$501,C251)&lt;&gt;1,"Check lot ID",IF(OR(A251="",B251="",E251="",F251=""),"Complete required fields",IF(COUNTIF($B$2:$B$501,B251)&gt;1,"Duplicate sale ID",IF(AND(D251&lt;&gt;"",COUNTIF(Clients!$A$2:$A$501,D251)&lt;&gt;1),"Check client ID",IF(VLOOKUP(C251,Inventory!$A$2:$L$501,12,FALSE)&lt;0,"OVER SOLD","OK"))))))</f>
        <v/>
      </c>
    </row>
    <row r="252" ht="23" customHeight="1">
      <c r="A252" s="17" t="n"/>
      <c r="B252" s="9" t="n"/>
      <c r="C252" s="9" t="n"/>
      <c r="D252" s="9" t="n"/>
      <c r="E252" s="10" t="n"/>
      <c r="F252" s="11" t="n"/>
      <c r="G252" s="13">
        <f>IF(C252="","",ROUND(E252*F252,2))</f>
        <v/>
      </c>
      <c r="H252" s="13">
        <f>IF(C252="","",IFERROR(VLOOKUP(C252,Inventory!$A$2:$J$501,9,FALSE),0))</f>
        <v/>
      </c>
      <c r="I252" s="13">
        <f>IF(C252="","",ROUND(E252*H252,2))</f>
        <v/>
      </c>
      <c r="J252" s="11" t="n"/>
      <c r="K252" s="11" t="n"/>
      <c r="L252" s="13">
        <f>IF(C252="","",ROUND(G252-I252-J252-K252,2))</f>
        <v/>
      </c>
      <c r="M252" s="10" t="n"/>
      <c r="N252" s="10" t="n"/>
      <c r="O252" s="12">
        <f>IF(C252="","",IFERROR(VLOOKUP(C252,Inventory!$A$2:$B$501,2,FALSE),"Unknown lot"))</f>
        <v/>
      </c>
      <c r="P252" s="12">
        <f>IF(D252="","",IFERROR(VLOOKUP(D252,Clients!$A$2:$B$501,2,FALSE),"Unknown client"))</f>
        <v/>
      </c>
      <c r="Q252" s="12">
        <f>IF(C252="","",IF(COUNTIF(Inventory!$A$2:$A$501,C252)&lt;&gt;1,"Check lot ID",IF(OR(A252="",B252="",E252="",F252=""),"Complete required fields",IF(COUNTIF($B$2:$B$501,B252)&gt;1,"Duplicate sale ID",IF(AND(D252&lt;&gt;"",COUNTIF(Clients!$A$2:$A$501,D252)&lt;&gt;1),"Check client ID",IF(VLOOKUP(C252,Inventory!$A$2:$L$501,12,FALSE)&lt;0,"OVER SOLD","OK"))))))</f>
        <v/>
      </c>
    </row>
    <row r="253" ht="23" customHeight="1">
      <c r="A253" s="18" t="n"/>
      <c r="B253" s="14" t="n"/>
      <c r="C253" s="14" t="n"/>
      <c r="D253" s="14" t="n"/>
      <c r="E253" s="15" t="n"/>
      <c r="F253" s="16" t="n"/>
      <c r="G253" s="13">
        <f>IF(C253="","",ROUND(E253*F253,2))</f>
        <v/>
      </c>
      <c r="H253" s="13">
        <f>IF(C253="","",IFERROR(VLOOKUP(C253,Inventory!$A$2:$J$501,9,FALSE),0))</f>
        <v/>
      </c>
      <c r="I253" s="13">
        <f>IF(C253="","",ROUND(E253*H253,2))</f>
        <v/>
      </c>
      <c r="J253" s="16" t="n"/>
      <c r="K253" s="16" t="n"/>
      <c r="L253" s="13">
        <f>IF(C253="","",ROUND(G253-I253-J253-K253,2))</f>
        <v/>
      </c>
      <c r="M253" s="15" t="n"/>
      <c r="N253" s="15" t="n"/>
      <c r="O253" s="12">
        <f>IF(C253="","",IFERROR(VLOOKUP(C253,Inventory!$A$2:$B$501,2,FALSE),"Unknown lot"))</f>
        <v/>
      </c>
      <c r="P253" s="12">
        <f>IF(D253="","",IFERROR(VLOOKUP(D253,Clients!$A$2:$B$501,2,FALSE),"Unknown client"))</f>
        <v/>
      </c>
      <c r="Q253" s="12">
        <f>IF(C253="","",IF(COUNTIF(Inventory!$A$2:$A$501,C253)&lt;&gt;1,"Check lot ID",IF(OR(A253="",B253="",E253="",F253=""),"Complete required fields",IF(COUNTIF($B$2:$B$501,B253)&gt;1,"Duplicate sale ID",IF(AND(D253&lt;&gt;"",COUNTIF(Clients!$A$2:$A$501,D253)&lt;&gt;1),"Check client ID",IF(VLOOKUP(C253,Inventory!$A$2:$L$501,12,FALSE)&lt;0,"OVER SOLD","OK"))))))</f>
        <v/>
      </c>
    </row>
    <row r="254" ht="23" customHeight="1">
      <c r="A254" s="17" t="n"/>
      <c r="B254" s="9" t="n"/>
      <c r="C254" s="9" t="n"/>
      <c r="D254" s="9" t="n"/>
      <c r="E254" s="10" t="n"/>
      <c r="F254" s="11" t="n"/>
      <c r="G254" s="13">
        <f>IF(C254="","",ROUND(E254*F254,2))</f>
        <v/>
      </c>
      <c r="H254" s="13">
        <f>IF(C254="","",IFERROR(VLOOKUP(C254,Inventory!$A$2:$J$501,9,FALSE),0))</f>
        <v/>
      </c>
      <c r="I254" s="13">
        <f>IF(C254="","",ROUND(E254*H254,2))</f>
        <v/>
      </c>
      <c r="J254" s="11" t="n"/>
      <c r="K254" s="11" t="n"/>
      <c r="L254" s="13">
        <f>IF(C254="","",ROUND(G254-I254-J254-K254,2))</f>
        <v/>
      </c>
      <c r="M254" s="10" t="n"/>
      <c r="N254" s="10" t="n"/>
      <c r="O254" s="12">
        <f>IF(C254="","",IFERROR(VLOOKUP(C254,Inventory!$A$2:$B$501,2,FALSE),"Unknown lot"))</f>
        <v/>
      </c>
      <c r="P254" s="12">
        <f>IF(D254="","",IFERROR(VLOOKUP(D254,Clients!$A$2:$B$501,2,FALSE),"Unknown client"))</f>
        <v/>
      </c>
      <c r="Q254" s="12">
        <f>IF(C254="","",IF(COUNTIF(Inventory!$A$2:$A$501,C254)&lt;&gt;1,"Check lot ID",IF(OR(A254="",B254="",E254="",F254=""),"Complete required fields",IF(COUNTIF($B$2:$B$501,B254)&gt;1,"Duplicate sale ID",IF(AND(D254&lt;&gt;"",COUNTIF(Clients!$A$2:$A$501,D254)&lt;&gt;1),"Check client ID",IF(VLOOKUP(C254,Inventory!$A$2:$L$501,12,FALSE)&lt;0,"OVER SOLD","OK"))))))</f>
        <v/>
      </c>
    </row>
    <row r="255" ht="23" customHeight="1">
      <c r="A255" s="18" t="n"/>
      <c r="B255" s="14" t="n"/>
      <c r="C255" s="14" t="n"/>
      <c r="D255" s="14" t="n"/>
      <c r="E255" s="15" t="n"/>
      <c r="F255" s="16" t="n"/>
      <c r="G255" s="13">
        <f>IF(C255="","",ROUND(E255*F255,2))</f>
        <v/>
      </c>
      <c r="H255" s="13">
        <f>IF(C255="","",IFERROR(VLOOKUP(C255,Inventory!$A$2:$J$501,9,FALSE),0))</f>
        <v/>
      </c>
      <c r="I255" s="13">
        <f>IF(C255="","",ROUND(E255*H255,2))</f>
        <v/>
      </c>
      <c r="J255" s="16" t="n"/>
      <c r="K255" s="16" t="n"/>
      <c r="L255" s="13">
        <f>IF(C255="","",ROUND(G255-I255-J255-K255,2))</f>
        <v/>
      </c>
      <c r="M255" s="15" t="n"/>
      <c r="N255" s="15" t="n"/>
      <c r="O255" s="12">
        <f>IF(C255="","",IFERROR(VLOOKUP(C255,Inventory!$A$2:$B$501,2,FALSE),"Unknown lot"))</f>
        <v/>
      </c>
      <c r="P255" s="12">
        <f>IF(D255="","",IFERROR(VLOOKUP(D255,Clients!$A$2:$B$501,2,FALSE),"Unknown client"))</f>
        <v/>
      </c>
      <c r="Q255" s="12">
        <f>IF(C255="","",IF(COUNTIF(Inventory!$A$2:$A$501,C255)&lt;&gt;1,"Check lot ID",IF(OR(A255="",B255="",E255="",F255=""),"Complete required fields",IF(COUNTIF($B$2:$B$501,B255)&gt;1,"Duplicate sale ID",IF(AND(D255&lt;&gt;"",COUNTIF(Clients!$A$2:$A$501,D255)&lt;&gt;1),"Check client ID",IF(VLOOKUP(C255,Inventory!$A$2:$L$501,12,FALSE)&lt;0,"OVER SOLD","OK"))))))</f>
        <v/>
      </c>
    </row>
    <row r="256" ht="23" customHeight="1">
      <c r="A256" s="17" t="n"/>
      <c r="B256" s="9" t="n"/>
      <c r="C256" s="9" t="n"/>
      <c r="D256" s="9" t="n"/>
      <c r="E256" s="10" t="n"/>
      <c r="F256" s="11" t="n"/>
      <c r="G256" s="13">
        <f>IF(C256="","",ROUND(E256*F256,2))</f>
        <v/>
      </c>
      <c r="H256" s="13">
        <f>IF(C256="","",IFERROR(VLOOKUP(C256,Inventory!$A$2:$J$501,9,FALSE),0))</f>
        <v/>
      </c>
      <c r="I256" s="13">
        <f>IF(C256="","",ROUND(E256*H256,2))</f>
        <v/>
      </c>
      <c r="J256" s="11" t="n"/>
      <c r="K256" s="11" t="n"/>
      <c r="L256" s="13">
        <f>IF(C256="","",ROUND(G256-I256-J256-K256,2))</f>
        <v/>
      </c>
      <c r="M256" s="10" t="n"/>
      <c r="N256" s="10" t="n"/>
      <c r="O256" s="12">
        <f>IF(C256="","",IFERROR(VLOOKUP(C256,Inventory!$A$2:$B$501,2,FALSE),"Unknown lot"))</f>
        <v/>
      </c>
      <c r="P256" s="12">
        <f>IF(D256="","",IFERROR(VLOOKUP(D256,Clients!$A$2:$B$501,2,FALSE),"Unknown client"))</f>
        <v/>
      </c>
      <c r="Q256" s="12">
        <f>IF(C256="","",IF(COUNTIF(Inventory!$A$2:$A$501,C256)&lt;&gt;1,"Check lot ID",IF(OR(A256="",B256="",E256="",F256=""),"Complete required fields",IF(COUNTIF($B$2:$B$501,B256)&gt;1,"Duplicate sale ID",IF(AND(D256&lt;&gt;"",COUNTIF(Clients!$A$2:$A$501,D256)&lt;&gt;1),"Check client ID",IF(VLOOKUP(C256,Inventory!$A$2:$L$501,12,FALSE)&lt;0,"OVER SOLD","OK"))))))</f>
        <v/>
      </c>
    </row>
    <row r="257" ht="23" customHeight="1">
      <c r="A257" s="18" t="n"/>
      <c r="B257" s="14" t="n"/>
      <c r="C257" s="14" t="n"/>
      <c r="D257" s="14" t="n"/>
      <c r="E257" s="15" t="n"/>
      <c r="F257" s="16" t="n"/>
      <c r="G257" s="13">
        <f>IF(C257="","",ROUND(E257*F257,2))</f>
        <v/>
      </c>
      <c r="H257" s="13">
        <f>IF(C257="","",IFERROR(VLOOKUP(C257,Inventory!$A$2:$J$501,9,FALSE),0))</f>
        <v/>
      </c>
      <c r="I257" s="13">
        <f>IF(C257="","",ROUND(E257*H257,2))</f>
        <v/>
      </c>
      <c r="J257" s="16" t="n"/>
      <c r="K257" s="16" t="n"/>
      <c r="L257" s="13">
        <f>IF(C257="","",ROUND(G257-I257-J257-K257,2))</f>
        <v/>
      </c>
      <c r="M257" s="15" t="n"/>
      <c r="N257" s="15" t="n"/>
      <c r="O257" s="12">
        <f>IF(C257="","",IFERROR(VLOOKUP(C257,Inventory!$A$2:$B$501,2,FALSE),"Unknown lot"))</f>
        <v/>
      </c>
      <c r="P257" s="12">
        <f>IF(D257="","",IFERROR(VLOOKUP(D257,Clients!$A$2:$B$501,2,FALSE),"Unknown client"))</f>
        <v/>
      </c>
      <c r="Q257" s="12">
        <f>IF(C257="","",IF(COUNTIF(Inventory!$A$2:$A$501,C257)&lt;&gt;1,"Check lot ID",IF(OR(A257="",B257="",E257="",F257=""),"Complete required fields",IF(COUNTIF($B$2:$B$501,B257)&gt;1,"Duplicate sale ID",IF(AND(D257&lt;&gt;"",COUNTIF(Clients!$A$2:$A$501,D257)&lt;&gt;1),"Check client ID",IF(VLOOKUP(C257,Inventory!$A$2:$L$501,12,FALSE)&lt;0,"OVER SOLD","OK"))))))</f>
        <v/>
      </c>
    </row>
    <row r="258" ht="23" customHeight="1">
      <c r="A258" s="17" t="n"/>
      <c r="B258" s="9" t="n"/>
      <c r="C258" s="9" t="n"/>
      <c r="D258" s="9" t="n"/>
      <c r="E258" s="10" t="n"/>
      <c r="F258" s="11" t="n"/>
      <c r="G258" s="13">
        <f>IF(C258="","",ROUND(E258*F258,2))</f>
        <v/>
      </c>
      <c r="H258" s="13">
        <f>IF(C258="","",IFERROR(VLOOKUP(C258,Inventory!$A$2:$J$501,9,FALSE),0))</f>
        <v/>
      </c>
      <c r="I258" s="13">
        <f>IF(C258="","",ROUND(E258*H258,2))</f>
        <v/>
      </c>
      <c r="J258" s="11" t="n"/>
      <c r="K258" s="11" t="n"/>
      <c r="L258" s="13">
        <f>IF(C258="","",ROUND(G258-I258-J258-K258,2))</f>
        <v/>
      </c>
      <c r="M258" s="10" t="n"/>
      <c r="N258" s="10" t="n"/>
      <c r="O258" s="12">
        <f>IF(C258="","",IFERROR(VLOOKUP(C258,Inventory!$A$2:$B$501,2,FALSE),"Unknown lot"))</f>
        <v/>
      </c>
      <c r="P258" s="12">
        <f>IF(D258="","",IFERROR(VLOOKUP(D258,Clients!$A$2:$B$501,2,FALSE),"Unknown client"))</f>
        <v/>
      </c>
      <c r="Q258" s="12">
        <f>IF(C258="","",IF(COUNTIF(Inventory!$A$2:$A$501,C258)&lt;&gt;1,"Check lot ID",IF(OR(A258="",B258="",E258="",F258=""),"Complete required fields",IF(COUNTIF($B$2:$B$501,B258)&gt;1,"Duplicate sale ID",IF(AND(D258&lt;&gt;"",COUNTIF(Clients!$A$2:$A$501,D258)&lt;&gt;1),"Check client ID",IF(VLOOKUP(C258,Inventory!$A$2:$L$501,12,FALSE)&lt;0,"OVER SOLD","OK"))))))</f>
        <v/>
      </c>
    </row>
    <row r="259" ht="23" customHeight="1">
      <c r="A259" s="18" t="n"/>
      <c r="B259" s="14" t="n"/>
      <c r="C259" s="14" t="n"/>
      <c r="D259" s="14" t="n"/>
      <c r="E259" s="15" t="n"/>
      <c r="F259" s="16" t="n"/>
      <c r="G259" s="13">
        <f>IF(C259="","",ROUND(E259*F259,2))</f>
        <v/>
      </c>
      <c r="H259" s="13">
        <f>IF(C259="","",IFERROR(VLOOKUP(C259,Inventory!$A$2:$J$501,9,FALSE),0))</f>
        <v/>
      </c>
      <c r="I259" s="13">
        <f>IF(C259="","",ROUND(E259*H259,2))</f>
        <v/>
      </c>
      <c r="J259" s="16" t="n"/>
      <c r="K259" s="16" t="n"/>
      <c r="L259" s="13">
        <f>IF(C259="","",ROUND(G259-I259-J259-K259,2))</f>
        <v/>
      </c>
      <c r="M259" s="15" t="n"/>
      <c r="N259" s="15" t="n"/>
      <c r="O259" s="12">
        <f>IF(C259="","",IFERROR(VLOOKUP(C259,Inventory!$A$2:$B$501,2,FALSE),"Unknown lot"))</f>
        <v/>
      </c>
      <c r="P259" s="12">
        <f>IF(D259="","",IFERROR(VLOOKUP(D259,Clients!$A$2:$B$501,2,FALSE),"Unknown client"))</f>
        <v/>
      </c>
      <c r="Q259" s="12">
        <f>IF(C259="","",IF(COUNTIF(Inventory!$A$2:$A$501,C259)&lt;&gt;1,"Check lot ID",IF(OR(A259="",B259="",E259="",F259=""),"Complete required fields",IF(COUNTIF($B$2:$B$501,B259)&gt;1,"Duplicate sale ID",IF(AND(D259&lt;&gt;"",COUNTIF(Clients!$A$2:$A$501,D259)&lt;&gt;1),"Check client ID",IF(VLOOKUP(C259,Inventory!$A$2:$L$501,12,FALSE)&lt;0,"OVER SOLD","OK"))))))</f>
        <v/>
      </c>
    </row>
    <row r="260" ht="23" customHeight="1">
      <c r="A260" s="17" t="n"/>
      <c r="B260" s="9" t="n"/>
      <c r="C260" s="9" t="n"/>
      <c r="D260" s="9" t="n"/>
      <c r="E260" s="10" t="n"/>
      <c r="F260" s="11" t="n"/>
      <c r="G260" s="13">
        <f>IF(C260="","",ROUND(E260*F260,2))</f>
        <v/>
      </c>
      <c r="H260" s="13">
        <f>IF(C260="","",IFERROR(VLOOKUP(C260,Inventory!$A$2:$J$501,9,FALSE),0))</f>
        <v/>
      </c>
      <c r="I260" s="13">
        <f>IF(C260="","",ROUND(E260*H260,2))</f>
        <v/>
      </c>
      <c r="J260" s="11" t="n"/>
      <c r="K260" s="11" t="n"/>
      <c r="L260" s="13">
        <f>IF(C260="","",ROUND(G260-I260-J260-K260,2))</f>
        <v/>
      </c>
      <c r="M260" s="10" t="n"/>
      <c r="N260" s="10" t="n"/>
      <c r="O260" s="12">
        <f>IF(C260="","",IFERROR(VLOOKUP(C260,Inventory!$A$2:$B$501,2,FALSE),"Unknown lot"))</f>
        <v/>
      </c>
      <c r="P260" s="12">
        <f>IF(D260="","",IFERROR(VLOOKUP(D260,Clients!$A$2:$B$501,2,FALSE),"Unknown client"))</f>
        <v/>
      </c>
      <c r="Q260" s="12">
        <f>IF(C260="","",IF(COUNTIF(Inventory!$A$2:$A$501,C260)&lt;&gt;1,"Check lot ID",IF(OR(A260="",B260="",E260="",F260=""),"Complete required fields",IF(COUNTIF($B$2:$B$501,B260)&gt;1,"Duplicate sale ID",IF(AND(D260&lt;&gt;"",COUNTIF(Clients!$A$2:$A$501,D260)&lt;&gt;1),"Check client ID",IF(VLOOKUP(C260,Inventory!$A$2:$L$501,12,FALSE)&lt;0,"OVER SOLD","OK"))))))</f>
        <v/>
      </c>
    </row>
    <row r="261" ht="23" customHeight="1">
      <c r="A261" s="18" t="n"/>
      <c r="B261" s="14" t="n"/>
      <c r="C261" s="14" t="n"/>
      <c r="D261" s="14" t="n"/>
      <c r="E261" s="15" t="n"/>
      <c r="F261" s="16" t="n"/>
      <c r="G261" s="13">
        <f>IF(C261="","",ROUND(E261*F261,2))</f>
        <v/>
      </c>
      <c r="H261" s="13">
        <f>IF(C261="","",IFERROR(VLOOKUP(C261,Inventory!$A$2:$J$501,9,FALSE),0))</f>
        <v/>
      </c>
      <c r="I261" s="13">
        <f>IF(C261="","",ROUND(E261*H261,2))</f>
        <v/>
      </c>
      <c r="J261" s="16" t="n"/>
      <c r="K261" s="16" t="n"/>
      <c r="L261" s="13">
        <f>IF(C261="","",ROUND(G261-I261-J261-K261,2))</f>
        <v/>
      </c>
      <c r="M261" s="15" t="n"/>
      <c r="N261" s="15" t="n"/>
      <c r="O261" s="12">
        <f>IF(C261="","",IFERROR(VLOOKUP(C261,Inventory!$A$2:$B$501,2,FALSE),"Unknown lot"))</f>
        <v/>
      </c>
      <c r="P261" s="12">
        <f>IF(D261="","",IFERROR(VLOOKUP(D261,Clients!$A$2:$B$501,2,FALSE),"Unknown client"))</f>
        <v/>
      </c>
      <c r="Q261" s="12">
        <f>IF(C261="","",IF(COUNTIF(Inventory!$A$2:$A$501,C261)&lt;&gt;1,"Check lot ID",IF(OR(A261="",B261="",E261="",F261=""),"Complete required fields",IF(COUNTIF($B$2:$B$501,B261)&gt;1,"Duplicate sale ID",IF(AND(D261&lt;&gt;"",COUNTIF(Clients!$A$2:$A$501,D261)&lt;&gt;1),"Check client ID",IF(VLOOKUP(C261,Inventory!$A$2:$L$501,12,FALSE)&lt;0,"OVER SOLD","OK"))))))</f>
        <v/>
      </c>
    </row>
    <row r="262" ht="23" customHeight="1">
      <c r="A262" s="17" t="n"/>
      <c r="B262" s="9" t="n"/>
      <c r="C262" s="9" t="n"/>
      <c r="D262" s="9" t="n"/>
      <c r="E262" s="10" t="n"/>
      <c r="F262" s="11" t="n"/>
      <c r="G262" s="13">
        <f>IF(C262="","",ROUND(E262*F262,2))</f>
        <v/>
      </c>
      <c r="H262" s="13">
        <f>IF(C262="","",IFERROR(VLOOKUP(C262,Inventory!$A$2:$J$501,9,FALSE),0))</f>
        <v/>
      </c>
      <c r="I262" s="13">
        <f>IF(C262="","",ROUND(E262*H262,2))</f>
        <v/>
      </c>
      <c r="J262" s="11" t="n"/>
      <c r="K262" s="11" t="n"/>
      <c r="L262" s="13">
        <f>IF(C262="","",ROUND(G262-I262-J262-K262,2))</f>
        <v/>
      </c>
      <c r="M262" s="10" t="n"/>
      <c r="N262" s="10" t="n"/>
      <c r="O262" s="12">
        <f>IF(C262="","",IFERROR(VLOOKUP(C262,Inventory!$A$2:$B$501,2,FALSE),"Unknown lot"))</f>
        <v/>
      </c>
      <c r="P262" s="12">
        <f>IF(D262="","",IFERROR(VLOOKUP(D262,Clients!$A$2:$B$501,2,FALSE),"Unknown client"))</f>
        <v/>
      </c>
      <c r="Q262" s="12">
        <f>IF(C262="","",IF(COUNTIF(Inventory!$A$2:$A$501,C262)&lt;&gt;1,"Check lot ID",IF(OR(A262="",B262="",E262="",F262=""),"Complete required fields",IF(COUNTIF($B$2:$B$501,B262)&gt;1,"Duplicate sale ID",IF(AND(D262&lt;&gt;"",COUNTIF(Clients!$A$2:$A$501,D262)&lt;&gt;1),"Check client ID",IF(VLOOKUP(C262,Inventory!$A$2:$L$501,12,FALSE)&lt;0,"OVER SOLD","OK"))))))</f>
        <v/>
      </c>
    </row>
    <row r="263" ht="23" customHeight="1">
      <c r="A263" s="18" t="n"/>
      <c r="B263" s="14" t="n"/>
      <c r="C263" s="14" t="n"/>
      <c r="D263" s="14" t="n"/>
      <c r="E263" s="15" t="n"/>
      <c r="F263" s="16" t="n"/>
      <c r="G263" s="13">
        <f>IF(C263="","",ROUND(E263*F263,2))</f>
        <v/>
      </c>
      <c r="H263" s="13">
        <f>IF(C263="","",IFERROR(VLOOKUP(C263,Inventory!$A$2:$J$501,9,FALSE),0))</f>
        <v/>
      </c>
      <c r="I263" s="13">
        <f>IF(C263="","",ROUND(E263*H263,2))</f>
        <v/>
      </c>
      <c r="J263" s="16" t="n"/>
      <c r="K263" s="16" t="n"/>
      <c r="L263" s="13">
        <f>IF(C263="","",ROUND(G263-I263-J263-K263,2))</f>
        <v/>
      </c>
      <c r="M263" s="15" t="n"/>
      <c r="N263" s="15" t="n"/>
      <c r="O263" s="12">
        <f>IF(C263="","",IFERROR(VLOOKUP(C263,Inventory!$A$2:$B$501,2,FALSE),"Unknown lot"))</f>
        <v/>
      </c>
      <c r="P263" s="12">
        <f>IF(D263="","",IFERROR(VLOOKUP(D263,Clients!$A$2:$B$501,2,FALSE),"Unknown client"))</f>
        <v/>
      </c>
      <c r="Q263" s="12">
        <f>IF(C263="","",IF(COUNTIF(Inventory!$A$2:$A$501,C263)&lt;&gt;1,"Check lot ID",IF(OR(A263="",B263="",E263="",F263=""),"Complete required fields",IF(COUNTIF($B$2:$B$501,B263)&gt;1,"Duplicate sale ID",IF(AND(D263&lt;&gt;"",COUNTIF(Clients!$A$2:$A$501,D263)&lt;&gt;1),"Check client ID",IF(VLOOKUP(C263,Inventory!$A$2:$L$501,12,FALSE)&lt;0,"OVER SOLD","OK"))))))</f>
        <v/>
      </c>
    </row>
    <row r="264" ht="23" customHeight="1">
      <c r="A264" s="17" t="n"/>
      <c r="B264" s="9" t="n"/>
      <c r="C264" s="9" t="n"/>
      <c r="D264" s="9" t="n"/>
      <c r="E264" s="10" t="n"/>
      <c r="F264" s="11" t="n"/>
      <c r="G264" s="13">
        <f>IF(C264="","",ROUND(E264*F264,2))</f>
        <v/>
      </c>
      <c r="H264" s="13">
        <f>IF(C264="","",IFERROR(VLOOKUP(C264,Inventory!$A$2:$J$501,9,FALSE),0))</f>
        <v/>
      </c>
      <c r="I264" s="13">
        <f>IF(C264="","",ROUND(E264*H264,2))</f>
        <v/>
      </c>
      <c r="J264" s="11" t="n"/>
      <c r="K264" s="11" t="n"/>
      <c r="L264" s="13">
        <f>IF(C264="","",ROUND(G264-I264-J264-K264,2))</f>
        <v/>
      </c>
      <c r="M264" s="10" t="n"/>
      <c r="N264" s="10" t="n"/>
      <c r="O264" s="12">
        <f>IF(C264="","",IFERROR(VLOOKUP(C264,Inventory!$A$2:$B$501,2,FALSE),"Unknown lot"))</f>
        <v/>
      </c>
      <c r="P264" s="12">
        <f>IF(D264="","",IFERROR(VLOOKUP(D264,Clients!$A$2:$B$501,2,FALSE),"Unknown client"))</f>
        <v/>
      </c>
      <c r="Q264" s="12">
        <f>IF(C264="","",IF(COUNTIF(Inventory!$A$2:$A$501,C264)&lt;&gt;1,"Check lot ID",IF(OR(A264="",B264="",E264="",F264=""),"Complete required fields",IF(COUNTIF($B$2:$B$501,B264)&gt;1,"Duplicate sale ID",IF(AND(D264&lt;&gt;"",COUNTIF(Clients!$A$2:$A$501,D264)&lt;&gt;1),"Check client ID",IF(VLOOKUP(C264,Inventory!$A$2:$L$501,12,FALSE)&lt;0,"OVER SOLD","OK"))))))</f>
        <v/>
      </c>
    </row>
    <row r="265" ht="23" customHeight="1">
      <c r="A265" s="18" t="n"/>
      <c r="B265" s="14" t="n"/>
      <c r="C265" s="14" t="n"/>
      <c r="D265" s="14" t="n"/>
      <c r="E265" s="15" t="n"/>
      <c r="F265" s="16" t="n"/>
      <c r="G265" s="13">
        <f>IF(C265="","",ROUND(E265*F265,2))</f>
        <v/>
      </c>
      <c r="H265" s="13">
        <f>IF(C265="","",IFERROR(VLOOKUP(C265,Inventory!$A$2:$J$501,9,FALSE),0))</f>
        <v/>
      </c>
      <c r="I265" s="13">
        <f>IF(C265="","",ROUND(E265*H265,2))</f>
        <v/>
      </c>
      <c r="J265" s="16" t="n"/>
      <c r="K265" s="16" t="n"/>
      <c r="L265" s="13">
        <f>IF(C265="","",ROUND(G265-I265-J265-K265,2))</f>
        <v/>
      </c>
      <c r="M265" s="15" t="n"/>
      <c r="N265" s="15" t="n"/>
      <c r="O265" s="12">
        <f>IF(C265="","",IFERROR(VLOOKUP(C265,Inventory!$A$2:$B$501,2,FALSE),"Unknown lot"))</f>
        <v/>
      </c>
      <c r="P265" s="12">
        <f>IF(D265="","",IFERROR(VLOOKUP(D265,Clients!$A$2:$B$501,2,FALSE),"Unknown client"))</f>
        <v/>
      </c>
      <c r="Q265" s="12">
        <f>IF(C265="","",IF(COUNTIF(Inventory!$A$2:$A$501,C265)&lt;&gt;1,"Check lot ID",IF(OR(A265="",B265="",E265="",F265=""),"Complete required fields",IF(COUNTIF($B$2:$B$501,B265)&gt;1,"Duplicate sale ID",IF(AND(D265&lt;&gt;"",COUNTIF(Clients!$A$2:$A$501,D265)&lt;&gt;1),"Check client ID",IF(VLOOKUP(C265,Inventory!$A$2:$L$501,12,FALSE)&lt;0,"OVER SOLD","OK"))))))</f>
        <v/>
      </c>
    </row>
    <row r="266" ht="23" customHeight="1">
      <c r="A266" s="17" t="n"/>
      <c r="B266" s="9" t="n"/>
      <c r="C266" s="9" t="n"/>
      <c r="D266" s="9" t="n"/>
      <c r="E266" s="10" t="n"/>
      <c r="F266" s="11" t="n"/>
      <c r="G266" s="13">
        <f>IF(C266="","",ROUND(E266*F266,2))</f>
        <v/>
      </c>
      <c r="H266" s="13">
        <f>IF(C266="","",IFERROR(VLOOKUP(C266,Inventory!$A$2:$J$501,9,FALSE),0))</f>
        <v/>
      </c>
      <c r="I266" s="13">
        <f>IF(C266="","",ROUND(E266*H266,2))</f>
        <v/>
      </c>
      <c r="J266" s="11" t="n"/>
      <c r="K266" s="11" t="n"/>
      <c r="L266" s="13">
        <f>IF(C266="","",ROUND(G266-I266-J266-K266,2))</f>
        <v/>
      </c>
      <c r="M266" s="10" t="n"/>
      <c r="N266" s="10" t="n"/>
      <c r="O266" s="12">
        <f>IF(C266="","",IFERROR(VLOOKUP(C266,Inventory!$A$2:$B$501,2,FALSE),"Unknown lot"))</f>
        <v/>
      </c>
      <c r="P266" s="12">
        <f>IF(D266="","",IFERROR(VLOOKUP(D266,Clients!$A$2:$B$501,2,FALSE),"Unknown client"))</f>
        <v/>
      </c>
      <c r="Q266" s="12">
        <f>IF(C266="","",IF(COUNTIF(Inventory!$A$2:$A$501,C266)&lt;&gt;1,"Check lot ID",IF(OR(A266="",B266="",E266="",F266=""),"Complete required fields",IF(COUNTIF($B$2:$B$501,B266)&gt;1,"Duplicate sale ID",IF(AND(D266&lt;&gt;"",COUNTIF(Clients!$A$2:$A$501,D266)&lt;&gt;1),"Check client ID",IF(VLOOKUP(C266,Inventory!$A$2:$L$501,12,FALSE)&lt;0,"OVER SOLD","OK"))))))</f>
        <v/>
      </c>
    </row>
    <row r="267" ht="23" customHeight="1">
      <c r="A267" s="18" t="n"/>
      <c r="B267" s="14" t="n"/>
      <c r="C267" s="14" t="n"/>
      <c r="D267" s="14" t="n"/>
      <c r="E267" s="15" t="n"/>
      <c r="F267" s="16" t="n"/>
      <c r="G267" s="13">
        <f>IF(C267="","",ROUND(E267*F267,2))</f>
        <v/>
      </c>
      <c r="H267" s="13">
        <f>IF(C267="","",IFERROR(VLOOKUP(C267,Inventory!$A$2:$J$501,9,FALSE),0))</f>
        <v/>
      </c>
      <c r="I267" s="13">
        <f>IF(C267="","",ROUND(E267*H267,2))</f>
        <v/>
      </c>
      <c r="J267" s="16" t="n"/>
      <c r="K267" s="16" t="n"/>
      <c r="L267" s="13">
        <f>IF(C267="","",ROUND(G267-I267-J267-K267,2))</f>
        <v/>
      </c>
      <c r="M267" s="15" t="n"/>
      <c r="N267" s="15" t="n"/>
      <c r="O267" s="12">
        <f>IF(C267="","",IFERROR(VLOOKUP(C267,Inventory!$A$2:$B$501,2,FALSE),"Unknown lot"))</f>
        <v/>
      </c>
      <c r="P267" s="12">
        <f>IF(D267="","",IFERROR(VLOOKUP(D267,Clients!$A$2:$B$501,2,FALSE),"Unknown client"))</f>
        <v/>
      </c>
      <c r="Q267" s="12">
        <f>IF(C267="","",IF(COUNTIF(Inventory!$A$2:$A$501,C267)&lt;&gt;1,"Check lot ID",IF(OR(A267="",B267="",E267="",F267=""),"Complete required fields",IF(COUNTIF($B$2:$B$501,B267)&gt;1,"Duplicate sale ID",IF(AND(D267&lt;&gt;"",COUNTIF(Clients!$A$2:$A$501,D267)&lt;&gt;1),"Check client ID",IF(VLOOKUP(C267,Inventory!$A$2:$L$501,12,FALSE)&lt;0,"OVER SOLD","OK"))))))</f>
        <v/>
      </c>
    </row>
    <row r="268" ht="23" customHeight="1">
      <c r="A268" s="17" t="n"/>
      <c r="B268" s="9" t="n"/>
      <c r="C268" s="9" t="n"/>
      <c r="D268" s="9" t="n"/>
      <c r="E268" s="10" t="n"/>
      <c r="F268" s="11" t="n"/>
      <c r="G268" s="13">
        <f>IF(C268="","",ROUND(E268*F268,2))</f>
        <v/>
      </c>
      <c r="H268" s="13">
        <f>IF(C268="","",IFERROR(VLOOKUP(C268,Inventory!$A$2:$J$501,9,FALSE),0))</f>
        <v/>
      </c>
      <c r="I268" s="13">
        <f>IF(C268="","",ROUND(E268*H268,2))</f>
        <v/>
      </c>
      <c r="J268" s="11" t="n"/>
      <c r="K268" s="11" t="n"/>
      <c r="L268" s="13">
        <f>IF(C268="","",ROUND(G268-I268-J268-K268,2))</f>
        <v/>
      </c>
      <c r="M268" s="10" t="n"/>
      <c r="N268" s="10" t="n"/>
      <c r="O268" s="12">
        <f>IF(C268="","",IFERROR(VLOOKUP(C268,Inventory!$A$2:$B$501,2,FALSE),"Unknown lot"))</f>
        <v/>
      </c>
      <c r="P268" s="12">
        <f>IF(D268="","",IFERROR(VLOOKUP(D268,Clients!$A$2:$B$501,2,FALSE),"Unknown client"))</f>
        <v/>
      </c>
      <c r="Q268" s="12">
        <f>IF(C268="","",IF(COUNTIF(Inventory!$A$2:$A$501,C268)&lt;&gt;1,"Check lot ID",IF(OR(A268="",B268="",E268="",F268=""),"Complete required fields",IF(COUNTIF($B$2:$B$501,B268)&gt;1,"Duplicate sale ID",IF(AND(D268&lt;&gt;"",COUNTIF(Clients!$A$2:$A$501,D268)&lt;&gt;1),"Check client ID",IF(VLOOKUP(C268,Inventory!$A$2:$L$501,12,FALSE)&lt;0,"OVER SOLD","OK"))))))</f>
        <v/>
      </c>
    </row>
    <row r="269" ht="23" customHeight="1">
      <c r="A269" s="18" t="n"/>
      <c r="B269" s="14" t="n"/>
      <c r="C269" s="14" t="n"/>
      <c r="D269" s="14" t="n"/>
      <c r="E269" s="15" t="n"/>
      <c r="F269" s="16" t="n"/>
      <c r="G269" s="13">
        <f>IF(C269="","",ROUND(E269*F269,2))</f>
        <v/>
      </c>
      <c r="H269" s="13">
        <f>IF(C269="","",IFERROR(VLOOKUP(C269,Inventory!$A$2:$J$501,9,FALSE),0))</f>
        <v/>
      </c>
      <c r="I269" s="13">
        <f>IF(C269="","",ROUND(E269*H269,2))</f>
        <v/>
      </c>
      <c r="J269" s="16" t="n"/>
      <c r="K269" s="16" t="n"/>
      <c r="L269" s="13">
        <f>IF(C269="","",ROUND(G269-I269-J269-K269,2))</f>
        <v/>
      </c>
      <c r="M269" s="15" t="n"/>
      <c r="N269" s="15" t="n"/>
      <c r="O269" s="12">
        <f>IF(C269="","",IFERROR(VLOOKUP(C269,Inventory!$A$2:$B$501,2,FALSE),"Unknown lot"))</f>
        <v/>
      </c>
      <c r="P269" s="12">
        <f>IF(D269="","",IFERROR(VLOOKUP(D269,Clients!$A$2:$B$501,2,FALSE),"Unknown client"))</f>
        <v/>
      </c>
      <c r="Q269" s="12">
        <f>IF(C269="","",IF(COUNTIF(Inventory!$A$2:$A$501,C269)&lt;&gt;1,"Check lot ID",IF(OR(A269="",B269="",E269="",F269=""),"Complete required fields",IF(COUNTIF($B$2:$B$501,B269)&gt;1,"Duplicate sale ID",IF(AND(D269&lt;&gt;"",COUNTIF(Clients!$A$2:$A$501,D269)&lt;&gt;1),"Check client ID",IF(VLOOKUP(C269,Inventory!$A$2:$L$501,12,FALSE)&lt;0,"OVER SOLD","OK"))))))</f>
        <v/>
      </c>
    </row>
    <row r="270" ht="23" customHeight="1">
      <c r="A270" s="17" t="n"/>
      <c r="B270" s="9" t="n"/>
      <c r="C270" s="9" t="n"/>
      <c r="D270" s="9" t="n"/>
      <c r="E270" s="10" t="n"/>
      <c r="F270" s="11" t="n"/>
      <c r="G270" s="13">
        <f>IF(C270="","",ROUND(E270*F270,2))</f>
        <v/>
      </c>
      <c r="H270" s="13">
        <f>IF(C270="","",IFERROR(VLOOKUP(C270,Inventory!$A$2:$J$501,9,FALSE),0))</f>
        <v/>
      </c>
      <c r="I270" s="13">
        <f>IF(C270="","",ROUND(E270*H270,2))</f>
        <v/>
      </c>
      <c r="J270" s="11" t="n"/>
      <c r="K270" s="11" t="n"/>
      <c r="L270" s="13">
        <f>IF(C270="","",ROUND(G270-I270-J270-K270,2))</f>
        <v/>
      </c>
      <c r="M270" s="10" t="n"/>
      <c r="N270" s="10" t="n"/>
      <c r="O270" s="12">
        <f>IF(C270="","",IFERROR(VLOOKUP(C270,Inventory!$A$2:$B$501,2,FALSE),"Unknown lot"))</f>
        <v/>
      </c>
      <c r="P270" s="12">
        <f>IF(D270="","",IFERROR(VLOOKUP(D270,Clients!$A$2:$B$501,2,FALSE),"Unknown client"))</f>
        <v/>
      </c>
      <c r="Q270" s="12">
        <f>IF(C270="","",IF(COUNTIF(Inventory!$A$2:$A$501,C270)&lt;&gt;1,"Check lot ID",IF(OR(A270="",B270="",E270="",F270=""),"Complete required fields",IF(COUNTIF($B$2:$B$501,B270)&gt;1,"Duplicate sale ID",IF(AND(D270&lt;&gt;"",COUNTIF(Clients!$A$2:$A$501,D270)&lt;&gt;1),"Check client ID",IF(VLOOKUP(C270,Inventory!$A$2:$L$501,12,FALSE)&lt;0,"OVER SOLD","OK"))))))</f>
        <v/>
      </c>
    </row>
    <row r="271" ht="23" customHeight="1">
      <c r="A271" s="18" t="n"/>
      <c r="B271" s="14" t="n"/>
      <c r="C271" s="14" t="n"/>
      <c r="D271" s="14" t="n"/>
      <c r="E271" s="15" t="n"/>
      <c r="F271" s="16" t="n"/>
      <c r="G271" s="13">
        <f>IF(C271="","",ROUND(E271*F271,2))</f>
        <v/>
      </c>
      <c r="H271" s="13">
        <f>IF(C271="","",IFERROR(VLOOKUP(C271,Inventory!$A$2:$J$501,9,FALSE),0))</f>
        <v/>
      </c>
      <c r="I271" s="13">
        <f>IF(C271="","",ROUND(E271*H271,2))</f>
        <v/>
      </c>
      <c r="J271" s="16" t="n"/>
      <c r="K271" s="16" t="n"/>
      <c r="L271" s="13">
        <f>IF(C271="","",ROUND(G271-I271-J271-K271,2))</f>
        <v/>
      </c>
      <c r="M271" s="15" t="n"/>
      <c r="N271" s="15" t="n"/>
      <c r="O271" s="12">
        <f>IF(C271="","",IFERROR(VLOOKUP(C271,Inventory!$A$2:$B$501,2,FALSE),"Unknown lot"))</f>
        <v/>
      </c>
      <c r="P271" s="12">
        <f>IF(D271="","",IFERROR(VLOOKUP(D271,Clients!$A$2:$B$501,2,FALSE),"Unknown client"))</f>
        <v/>
      </c>
      <c r="Q271" s="12">
        <f>IF(C271="","",IF(COUNTIF(Inventory!$A$2:$A$501,C271)&lt;&gt;1,"Check lot ID",IF(OR(A271="",B271="",E271="",F271=""),"Complete required fields",IF(COUNTIF($B$2:$B$501,B271)&gt;1,"Duplicate sale ID",IF(AND(D271&lt;&gt;"",COUNTIF(Clients!$A$2:$A$501,D271)&lt;&gt;1),"Check client ID",IF(VLOOKUP(C271,Inventory!$A$2:$L$501,12,FALSE)&lt;0,"OVER SOLD","OK"))))))</f>
        <v/>
      </c>
    </row>
    <row r="272" ht="23" customHeight="1">
      <c r="A272" s="17" t="n"/>
      <c r="B272" s="9" t="n"/>
      <c r="C272" s="9" t="n"/>
      <c r="D272" s="9" t="n"/>
      <c r="E272" s="10" t="n"/>
      <c r="F272" s="11" t="n"/>
      <c r="G272" s="13">
        <f>IF(C272="","",ROUND(E272*F272,2))</f>
        <v/>
      </c>
      <c r="H272" s="13">
        <f>IF(C272="","",IFERROR(VLOOKUP(C272,Inventory!$A$2:$J$501,9,FALSE),0))</f>
        <v/>
      </c>
      <c r="I272" s="13">
        <f>IF(C272="","",ROUND(E272*H272,2))</f>
        <v/>
      </c>
      <c r="J272" s="11" t="n"/>
      <c r="K272" s="11" t="n"/>
      <c r="L272" s="13">
        <f>IF(C272="","",ROUND(G272-I272-J272-K272,2))</f>
        <v/>
      </c>
      <c r="M272" s="10" t="n"/>
      <c r="N272" s="10" t="n"/>
      <c r="O272" s="12">
        <f>IF(C272="","",IFERROR(VLOOKUP(C272,Inventory!$A$2:$B$501,2,FALSE),"Unknown lot"))</f>
        <v/>
      </c>
      <c r="P272" s="12">
        <f>IF(D272="","",IFERROR(VLOOKUP(D272,Clients!$A$2:$B$501,2,FALSE),"Unknown client"))</f>
        <v/>
      </c>
      <c r="Q272" s="12">
        <f>IF(C272="","",IF(COUNTIF(Inventory!$A$2:$A$501,C272)&lt;&gt;1,"Check lot ID",IF(OR(A272="",B272="",E272="",F272=""),"Complete required fields",IF(COUNTIF($B$2:$B$501,B272)&gt;1,"Duplicate sale ID",IF(AND(D272&lt;&gt;"",COUNTIF(Clients!$A$2:$A$501,D272)&lt;&gt;1),"Check client ID",IF(VLOOKUP(C272,Inventory!$A$2:$L$501,12,FALSE)&lt;0,"OVER SOLD","OK"))))))</f>
        <v/>
      </c>
    </row>
    <row r="273" ht="23" customHeight="1">
      <c r="A273" s="18" t="n"/>
      <c r="B273" s="14" t="n"/>
      <c r="C273" s="14" t="n"/>
      <c r="D273" s="14" t="n"/>
      <c r="E273" s="15" t="n"/>
      <c r="F273" s="16" t="n"/>
      <c r="G273" s="13">
        <f>IF(C273="","",ROUND(E273*F273,2))</f>
        <v/>
      </c>
      <c r="H273" s="13">
        <f>IF(C273="","",IFERROR(VLOOKUP(C273,Inventory!$A$2:$J$501,9,FALSE),0))</f>
        <v/>
      </c>
      <c r="I273" s="13">
        <f>IF(C273="","",ROUND(E273*H273,2))</f>
        <v/>
      </c>
      <c r="J273" s="16" t="n"/>
      <c r="K273" s="16" t="n"/>
      <c r="L273" s="13">
        <f>IF(C273="","",ROUND(G273-I273-J273-K273,2))</f>
        <v/>
      </c>
      <c r="M273" s="15" t="n"/>
      <c r="N273" s="15" t="n"/>
      <c r="O273" s="12">
        <f>IF(C273="","",IFERROR(VLOOKUP(C273,Inventory!$A$2:$B$501,2,FALSE),"Unknown lot"))</f>
        <v/>
      </c>
      <c r="P273" s="12">
        <f>IF(D273="","",IFERROR(VLOOKUP(D273,Clients!$A$2:$B$501,2,FALSE),"Unknown client"))</f>
        <v/>
      </c>
      <c r="Q273" s="12">
        <f>IF(C273="","",IF(COUNTIF(Inventory!$A$2:$A$501,C273)&lt;&gt;1,"Check lot ID",IF(OR(A273="",B273="",E273="",F273=""),"Complete required fields",IF(COUNTIF($B$2:$B$501,B273)&gt;1,"Duplicate sale ID",IF(AND(D273&lt;&gt;"",COUNTIF(Clients!$A$2:$A$501,D273)&lt;&gt;1),"Check client ID",IF(VLOOKUP(C273,Inventory!$A$2:$L$501,12,FALSE)&lt;0,"OVER SOLD","OK"))))))</f>
        <v/>
      </c>
    </row>
    <row r="274" ht="23" customHeight="1">
      <c r="A274" s="17" t="n"/>
      <c r="B274" s="9" t="n"/>
      <c r="C274" s="9" t="n"/>
      <c r="D274" s="9" t="n"/>
      <c r="E274" s="10" t="n"/>
      <c r="F274" s="11" t="n"/>
      <c r="G274" s="13">
        <f>IF(C274="","",ROUND(E274*F274,2))</f>
        <v/>
      </c>
      <c r="H274" s="13">
        <f>IF(C274="","",IFERROR(VLOOKUP(C274,Inventory!$A$2:$J$501,9,FALSE),0))</f>
        <v/>
      </c>
      <c r="I274" s="13">
        <f>IF(C274="","",ROUND(E274*H274,2))</f>
        <v/>
      </c>
      <c r="J274" s="11" t="n"/>
      <c r="K274" s="11" t="n"/>
      <c r="L274" s="13">
        <f>IF(C274="","",ROUND(G274-I274-J274-K274,2))</f>
        <v/>
      </c>
      <c r="M274" s="10" t="n"/>
      <c r="N274" s="10" t="n"/>
      <c r="O274" s="12">
        <f>IF(C274="","",IFERROR(VLOOKUP(C274,Inventory!$A$2:$B$501,2,FALSE),"Unknown lot"))</f>
        <v/>
      </c>
      <c r="P274" s="12">
        <f>IF(D274="","",IFERROR(VLOOKUP(D274,Clients!$A$2:$B$501,2,FALSE),"Unknown client"))</f>
        <v/>
      </c>
      <c r="Q274" s="12">
        <f>IF(C274="","",IF(COUNTIF(Inventory!$A$2:$A$501,C274)&lt;&gt;1,"Check lot ID",IF(OR(A274="",B274="",E274="",F274=""),"Complete required fields",IF(COUNTIF($B$2:$B$501,B274)&gt;1,"Duplicate sale ID",IF(AND(D274&lt;&gt;"",COUNTIF(Clients!$A$2:$A$501,D274)&lt;&gt;1),"Check client ID",IF(VLOOKUP(C274,Inventory!$A$2:$L$501,12,FALSE)&lt;0,"OVER SOLD","OK"))))))</f>
        <v/>
      </c>
    </row>
    <row r="275" ht="23" customHeight="1">
      <c r="A275" s="18" t="n"/>
      <c r="B275" s="14" t="n"/>
      <c r="C275" s="14" t="n"/>
      <c r="D275" s="14" t="n"/>
      <c r="E275" s="15" t="n"/>
      <c r="F275" s="16" t="n"/>
      <c r="G275" s="13">
        <f>IF(C275="","",ROUND(E275*F275,2))</f>
        <v/>
      </c>
      <c r="H275" s="13">
        <f>IF(C275="","",IFERROR(VLOOKUP(C275,Inventory!$A$2:$J$501,9,FALSE),0))</f>
        <v/>
      </c>
      <c r="I275" s="13">
        <f>IF(C275="","",ROUND(E275*H275,2))</f>
        <v/>
      </c>
      <c r="J275" s="16" t="n"/>
      <c r="K275" s="16" t="n"/>
      <c r="L275" s="13">
        <f>IF(C275="","",ROUND(G275-I275-J275-K275,2))</f>
        <v/>
      </c>
      <c r="M275" s="15" t="n"/>
      <c r="N275" s="15" t="n"/>
      <c r="O275" s="12">
        <f>IF(C275="","",IFERROR(VLOOKUP(C275,Inventory!$A$2:$B$501,2,FALSE),"Unknown lot"))</f>
        <v/>
      </c>
      <c r="P275" s="12">
        <f>IF(D275="","",IFERROR(VLOOKUP(D275,Clients!$A$2:$B$501,2,FALSE),"Unknown client"))</f>
        <v/>
      </c>
      <c r="Q275" s="12">
        <f>IF(C275="","",IF(COUNTIF(Inventory!$A$2:$A$501,C275)&lt;&gt;1,"Check lot ID",IF(OR(A275="",B275="",E275="",F275=""),"Complete required fields",IF(COUNTIF($B$2:$B$501,B275)&gt;1,"Duplicate sale ID",IF(AND(D275&lt;&gt;"",COUNTIF(Clients!$A$2:$A$501,D275)&lt;&gt;1),"Check client ID",IF(VLOOKUP(C275,Inventory!$A$2:$L$501,12,FALSE)&lt;0,"OVER SOLD","OK"))))))</f>
        <v/>
      </c>
    </row>
    <row r="276" ht="23" customHeight="1">
      <c r="A276" s="17" t="n"/>
      <c r="B276" s="9" t="n"/>
      <c r="C276" s="9" t="n"/>
      <c r="D276" s="9" t="n"/>
      <c r="E276" s="10" t="n"/>
      <c r="F276" s="11" t="n"/>
      <c r="G276" s="13">
        <f>IF(C276="","",ROUND(E276*F276,2))</f>
        <v/>
      </c>
      <c r="H276" s="13">
        <f>IF(C276="","",IFERROR(VLOOKUP(C276,Inventory!$A$2:$J$501,9,FALSE),0))</f>
        <v/>
      </c>
      <c r="I276" s="13">
        <f>IF(C276="","",ROUND(E276*H276,2))</f>
        <v/>
      </c>
      <c r="J276" s="11" t="n"/>
      <c r="K276" s="11" t="n"/>
      <c r="L276" s="13">
        <f>IF(C276="","",ROUND(G276-I276-J276-K276,2))</f>
        <v/>
      </c>
      <c r="M276" s="10" t="n"/>
      <c r="N276" s="10" t="n"/>
      <c r="O276" s="12">
        <f>IF(C276="","",IFERROR(VLOOKUP(C276,Inventory!$A$2:$B$501,2,FALSE),"Unknown lot"))</f>
        <v/>
      </c>
      <c r="P276" s="12">
        <f>IF(D276="","",IFERROR(VLOOKUP(D276,Clients!$A$2:$B$501,2,FALSE),"Unknown client"))</f>
        <v/>
      </c>
      <c r="Q276" s="12">
        <f>IF(C276="","",IF(COUNTIF(Inventory!$A$2:$A$501,C276)&lt;&gt;1,"Check lot ID",IF(OR(A276="",B276="",E276="",F276=""),"Complete required fields",IF(COUNTIF($B$2:$B$501,B276)&gt;1,"Duplicate sale ID",IF(AND(D276&lt;&gt;"",COUNTIF(Clients!$A$2:$A$501,D276)&lt;&gt;1),"Check client ID",IF(VLOOKUP(C276,Inventory!$A$2:$L$501,12,FALSE)&lt;0,"OVER SOLD","OK"))))))</f>
        <v/>
      </c>
    </row>
    <row r="277" ht="23" customHeight="1">
      <c r="A277" s="18" t="n"/>
      <c r="B277" s="14" t="n"/>
      <c r="C277" s="14" t="n"/>
      <c r="D277" s="14" t="n"/>
      <c r="E277" s="15" t="n"/>
      <c r="F277" s="16" t="n"/>
      <c r="G277" s="13">
        <f>IF(C277="","",ROUND(E277*F277,2))</f>
        <v/>
      </c>
      <c r="H277" s="13">
        <f>IF(C277="","",IFERROR(VLOOKUP(C277,Inventory!$A$2:$J$501,9,FALSE),0))</f>
        <v/>
      </c>
      <c r="I277" s="13">
        <f>IF(C277="","",ROUND(E277*H277,2))</f>
        <v/>
      </c>
      <c r="J277" s="16" t="n"/>
      <c r="K277" s="16" t="n"/>
      <c r="L277" s="13">
        <f>IF(C277="","",ROUND(G277-I277-J277-K277,2))</f>
        <v/>
      </c>
      <c r="M277" s="15" t="n"/>
      <c r="N277" s="15" t="n"/>
      <c r="O277" s="12">
        <f>IF(C277="","",IFERROR(VLOOKUP(C277,Inventory!$A$2:$B$501,2,FALSE),"Unknown lot"))</f>
        <v/>
      </c>
      <c r="P277" s="12">
        <f>IF(D277="","",IFERROR(VLOOKUP(D277,Clients!$A$2:$B$501,2,FALSE),"Unknown client"))</f>
        <v/>
      </c>
      <c r="Q277" s="12">
        <f>IF(C277="","",IF(COUNTIF(Inventory!$A$2:$A$501,C277)&lt;&gt;1,"Check lot ID",IF(OR(A277="",B277="",E277="",F277=""),"Complete required fields",IF(COUNTIF($B$2:$B$501,B277)&gt;1,"Duplicate sale ID",IF(AND(D277&lt;&gt;"",COUNTIF(Clients!$A$2:$A$501,D277)&lt;&gt;1),"Check client ID",IF(VLOOKUP(C277,Inventory!$A$2:$L$501,12,FALSE)&lt;0,"OVER SOLD","OK"))))))</f>
        <v/>
      </c>
    </row>
    <row r="278" ht="23" customHeight="1">
      <c r="A278" s="17" t="n"/>
      <c r="B278" s="9" t="n"/>
      <c r="C278" s="9" t="n"/>
      <c r="D278" s="9" t="n"/>
      <c r="E278" s="10" t="n"/>
      <c r="F278" s="11" t="n"/>
      <c r="G278" s="13">
        <f>IF(C278="","",ROUND(E278*F278,2))</f>
        <v/>
      </c>
      <c r="H278" s="13">
        <f>IF(C278="","",IFERROR(VLOOKUP(C278,Inventory!$A$2:$J$501,9,FALSE),0))</f>
        <v/>
      </c>
      <c r="I278" s="13">
        <f>IF(C278="","",ROUND(E278*H278,2))</f>
        <v/>
      </c>
      <c r="J278" s="11" t="n"/>
      <c r="K278" s="11" t="n"/>
      <c r="L278" s="13">
        <f>IF(C278="","",ROUND(G278-I278-J278-K278,2))</f>
        <v/>
      </c>
      <c r="M278" s="10" t="n"/>
      <c r="N278" s="10" t="n"/>
      <c r="O278" s="12">
        <f>IF(C278="","",IFERROR(VLOOKUP(C278,Inventory!$A$2:$B$501,2,FALSE),"Unknown lot"))</f>
        <v/>
      </c>
      <c r="P278" s="12">
        <f>IF(D278="","",IFERROR(VLOOKUP(D278,Clients!$A$2:$B$501,2,FALSE),"Unknown client"))</f>
        <v/>
      </c>
      <c r="Q278" s="12">
        <f>IF(C278="","",IF(COUNTIF(Inventory!$A$2:$A$501,C278)&lt;&gt;1,"Check lot ID",IF(OR(A278="",B278="",E278="",F278=""),"Complete required fields",IF(COUNTIF($B$2:$B$501,B278)&gt;1,"Duplicate sale ID",IF(AND(D278&lt;&gt;"",COUNTIF(Clients!$A$2:$A$501,D278)&lt;&gt;1),"Check client ID",IF(VLOOKUP(C278,Inventory!$A$2:$L$501,12,FALSE)&lt;0,"OVER SOLD","OK"))))))</f>
        <v/>
      </c>
    </row>
    <row r="279" ht="23" customHeight="1">
      <c r="A279" s="18" t="n"/>
      <c r="B279" s="14" t="n"/>
      <c r="C279" s="14" t="n"/>
      <c r="D279" s="14" t="n"/>
      <c r="E279" s="15" t="n"/>
      <c r="F279" s="16" t="n"/>
      <c r="G279" s="13">
        <f>IF(C279="","",ROUND(E279*F279,2))</f>
        <v/>
      </c>
      <c r="H279" s="13">
        <f>IF(C279="","",IFERROR(VLOOKUP(C279,Inventory!$A$2:$J$501,9,FALSE),0))</f>
        <v/>
      </c>
      <c r="I279" s="13">
        <f>IF(C279="","",ROUND(E279*H279,2))</f>
        <v/>
      </c>
      <c r="J279" s="16" t="n"/>
      <c r="K279" s="16" t="n"/>
      <c r="L279" s="13">
        <f>IF(C279="","",ROUND(G279-I279-J279-K279,2))</f>
        <v/>
      </c>
      <c r="M279" s="15" t="n"/>
      <c r="N279" s="15" t="n"/>
      <c r="O279" s="12">
        <f>IF(C279="","",IFERROR(VLOOKUP(C279,Inventory!$A$2:$B$501,2,FALSE),"Unknown lot"))</f>
        <v/>
      </c>
      <c r="P279" s="12">
        <f>IF(D279="","",IFERROR(VLOOKUP(D279,Clients!$A$2:$B$501,2,FALSE),"Unknown client"))</f>
        <v/>
      </c>
      <c r="Q279" s="12">
        <f>IF(C279="","",IF(COUNTIF(Inventory!$A$2:$A$501,C279)&lt;&gt;1,"Check lot ID",IF(OR(A279="",B279="",E279="",F279=""),"Complete required fields",IF(COUNTIF($B$2:$B$501,B279)&gt;1,"Duplicate sale ID",IF(AND(D279&lt;&gt;"",COUNTIF(Clients!$A$2:$A$501,D279)&lt;&gt;1),"Check client ID",IF(VLOOKUP(C279,Inventory!$A$2:$L$501,12,FALSE)&lt;0,"OVER SOLD","OK"))))))</f>
        <v/>
      </c>
    </row>
    <row r="280" ht="23" customHeight="1">
      <c r="A280" s="17" t="n"/>
      <c r="B280" s="9" t="n"/>
      <c r="C280" s="9" t="n"/>
      <c r="D280" s="9" t="n"/>
      <c r="E280" s="10" t="n"/>
      <c r="F280" s="11" t="n"/>
      <c r="G280" s="13">
        <f>IF(C280="","",ROUND(E280*F280,2))</f>
        <v/>
      </c>
      <c r="H280" s="13">
        <f>IF(C280="","",IFERROR(VLOOKUP(C280,Inventory!$A$2:$J$501,9,FALSE),0))</f>
        <v/>
      </c>
      <c r="I280" s="13">
        <f>IF(C280="","",ROUND(E280*H280,2))</f>
        <v/>
      </c>
      <c r="J280" s="11" t="n"/>
      <c r="K280" s="11" t="n"/>
      <c r="L280" s="13">
        <f>IF(C280="","",ROUND(G280-I280-J280-K280,2))</f>
        <v/>
      </c>
      <c r="M280" s="10" t="n"/>
      <c r="N280" s="10" t="n"/>
      <c r="O280" s="12">
        <f>IF(C280="","",IFERROR(VLOOKUP(C280,Inventory!$A$2:$B$501,2,FALSE),"Unknown lot"))</f>
        <v/>
      </c>
      <c r="P280" s="12">
        <f>IF(D280="","",IFERROR(VLOOKUP(D280,Clients!$A$2:$B$501,2,FALSE),"Unknown client"))</f>
        <v/>
      </c>
      <c r="Q280" s="12">
        <f>IF(C280="","",IF(COUNTIF(Inventory!$A$2:$A$501,C280)&lt;&gt;1,"Check lot ID",IF(OR(A280="",B280="",E280="",F280=""),"Complete required fields",IF(COUNTIF($B$2:$B$501,B280)&gt;1,"Duplicate sale ID",IF(AND(D280&lt;&gt;"",COUNTIF(Clients!$A$2:$A$501,D280)&lt;&gt;1),"Check client ID",IF(VLOOKUP(C280,Inventory!$A$2:$L$501,12,FALSE)&lt;0,"OVER SOLD","OK"))))))</f>
        <v/>
      </c>
    </row>
    <row r="281" ht="23" customHeight="1">
      <c r="A281" s="18" t="n"/>
      <c r="B281" s="14" t="n"/>
      <c r="C281" s="14" t="n"/>
      <c r="D281" s="14" t="n"/>
      <c r="E281" s="15" t="n"/>
      <c r="F281" s="16" t="n"/>
      <c r="G281" s="13">
        <f>IF(C281="","",ROUND(E281*F281,2))</f>
        <v/>
      </c>
      <c r="H281" s="13">
        <f>IF(C281="","",IFERROR(VLOOKUP(C281,Inventory!$A$2:$J$501,9,FALSE),0))</f>
        <v/>
      </c>
      <c r="I281" s="13">
        <f>IF(C281="","",ROUND(E281*H281,2))</f>
        <v/>
      </c>
      <c r="J281" s="16" t="n"/>
      <c r="K281" s="16" t="n"/>
      <c r="L281" s="13">
        <f>IF(C281="","",ROUND(G281-I281-J281-K281,2))</f>
        <v/>
      </c>
      <c r="M281" s="15" t="n"/>
      <c r="N281" s="15" t="n"/>
      <c r="O281" s="12">
        <f>IF(C281="","",IFERROR(VLOOKUP(C281,Inventory!$A$2:$B$501,2,FALSE),"Unknown lot"))</f>
        <v/>
      </c>
      <c r="P281" s="12">
        <f>IF(D281="","",IFERROR(VLOOKUP(D281,Clients!$A$2:$B$501,2,FALSE),"Unknown client"))</f>
        <v/>
      </c>
      <c r="Q281" s="12">
        <f>IF(C281="","",IF(COUNTIF(Inventory!$A$2:$A$501,C281)&lt;&gt;1,"Check lot ID",IF(OR(A281="",B281="",E281="",F281=""),"Complete required fields",IF(COUNTIF($B$2:$B$501,B281)&gt;1,"Duplicate sale ID",IF(AND(D281&lt;&gt;"",COUNTIF(Clients!$A$2:$A$501,D281)&lt;&gt;1),"Check client ID",IF(VLOOKUP(C281,Inventory!$A$2:$L$501,12,FALSE)&lt;0,"OVER SOLD","OK"))))))</f>
        <v/>
      </c>
    </row>
    <row r="282" ht="23" customHeight="1">
      <c r="A282" s="17" t="n"/>
      <c r="B282" s="9" t="n"/>
      <c r="C282" s="9" t="n"/>
      <c r="D282" s="9" t="n"/>
      <c r="E282" s="10" t="n"/>
      <c r="F282" s="11" t="n"/>
      <c r="G282" s="13">
        <f>IF(C282="","",ROUND(E282*F282,2))</f>
        <v/>
      </c>
      <c r="H282" s="13">
        <f>IF(C282="","",IFERROR(VLOOKUP(C282,Inventory!$A$2:$J$501,9,FALSE),0))</f>
        <v/>
      </c>
      <c r="I282" s="13">
        <f>IF(C282="","",ROUND(E282*H282,2))</f>
        <v/>
      </c>
      <c r="J282" s="11" t="n"/>
      <c r="K282" s="11" t="n"/>
      <c r="L282" s="13">
        <f>IF(C282="","",ROUND(G282-I282-J282-K282,2))</f>
        <v/>
      </c>
      <c r="M282" s="10" t="n"/>
      <c r="N282" s="10" t="n"/>
      <c r="O282" s="12">
        <f>IF(C282="","",IFERROR(VLOOKUP(C282,Inventory!$A$2:$B$501,2,FALSE),"Unknown lot"))</f>
        <v/>
      </c>
      <c r="P282" s="12">
        <f>IF(D282="","",IFERROR(VLOOKUP(D282,Clients!$A$2:$B$501,2,FALSE),"Unknown client"))</f>
        <v/>
      </c>
      <c r="Q282" s="12">
        <f>IF(C282="","",IF(COUNTIF(Inventory!$A$2:$A$501,C282)&lt;&gt;1,"Check lot ID",IF(OR(A282="",B282="",E282="",F282=""),"Complete required fields",IF(COUNTIF($B$2:$B$501,B282)&gt;1,"Duplicate sale ID",IF(AND(D282&lt;&gt;"",COUNTIF(Clients!$A$2:$A$501,D282)&lt;&gt;1),"Check client ID",IF(VLOOKUP(C282,Inventory!$A$2:$L$501,12,FALSE)&lt;0,"OVER SOLD","OK"))))))</f>
        <v/>
      </c>
    </row>
    <row r="283" ht="23" customHeight="1">
      <c r="A283" s="18" t="n"/>
      <c r="B283" s="14" t="n"/>
      <c r="C283" s="14" t="n"/>
      <c r="D283" s="14" t="n"/>
      <c r="E283" s="15" t="n"/>
      <c r="F283" s="16" t="n"/>
      <c r="G283" s="13">
        <f>IF(C283="","",ROUND(E283*F283,2))</f>
        <v/>
      </c>
      <c r="H283" s="13">
        <f>IF(C283="","",IFERROR(VLOOKUP(C283,Inventory!$A$2:$J$501,9,FALSE),0))</f>
        <v/>
      </c>
      <c r="I283" s="13">
        <f>IF(C283="","",ROUND(E283*H283,2))</f>
        <v/>
      </c>
      <c r="J283" s="16" t="n"/>
      <c r="K283" s="16" t="n"/>
      <c r="L283" s="13">
        <f>IF(C283="","",ROUND(G283-I283-J283-K283,2))</f>
        <v/>
      </c>
      <c r="M283" s="15" t="n"/>
      <c r="N283" s="15" t="n"/>
      <c r="O283" s="12">
        <f>IF(C283="","",IFERROR(VLOOKUP(C283,Inventory!$A$2:$B$501,2,FALSE),"Unknown lot"))</f>
        <v/>
      </c>
      <c r="P283" s="12">
        <f>IF(D283="","",IFERROR(VLOOKUP(D283,Clients!$A$2:$B$501,2,FALSE),"Unknown client"))</f>
        <v/>
      </c>
      <c r="Q283" s="12">
        <f>IF(C283="","",IF(COUNTIF(Inventory!$A$2:$A$501,C283)&lt;&gt;1,"Check lot ID",IF(OR(A283="",B283="",E283="",F283=""),"Complete required fields",IF(COUNTIF($B$2:$B$501,B283)&gt;1,"Duplicate sale ID",IF(AND(D283&lt;&gt;"",COUNTIF(Clients!$A$2:$A$501,D283)&lt;&gt;1),"Check client ID",IF(VLOOKUP(C283,Inventory!$A$2:$L$501,12,FALSE)&lt;0,"OVER SOLD","OK"))))))</f>
        <v/>
      </c>
    </row>
    <row r="284" ht="23" customHeight="1">
      <c r="A284" s="17" t="n"/>
      <c r="B284" s="9" t="n"/>
      <c r="C284" s="9" t="n"/>
      <c r="D284" s="9" t="n"/>
      <c r="E284" s="10" t="n"/>
      <c r="F284" s="11" t="n"/>
      <c r="G284" s="13">
        <f>IF(C284="","",ROUND(E284*F284,2))</f>
        <v/>
      </c>
      <c r="H284" s="13">
        <f>IF(C284="","",IFERROR(VLOOKUP(C284,Inventory!$A$2:$J$501,9,FALSE),0))</f>
        <v/>
      </c>
      <c r="I284" s="13">
        <f>IF(C284="","",ROUND(E284*H284,2))</f>
        <v/>
      </c>
      <c r="J284" s="11" t="n"/>
      <c r="K284" s="11" t="n"/>
      <c r="L284" s="13">
        <f>IF(C284="","",ROUND(G284-I284-J284-K284,2))</f>
        <v/>
      </c>
      <c r="M284" s="10" t="n"/>
      <c r="N284" s="10" t="n"/>
      <c r="O284" s="12">
        <f>IF(C284="","",IFERROR(VLOOKUP(C284,Inventory!$A$2:$B$501,2,FALSE),"Unknown lot"))</f>
        <v/>
      </c>
      <c r="P284" s="12">
        <f>IF(D284="","",IFERROR(VLOOKUP(D284,Clients!$A$2:$B$501,2,FALSE),"Unknown client"))</f>
        <v/>
      </c>
      <c r="Q284" s="12">
        <f>IF(C284="","",IF(COUNTIF(Inventory!$A$2:$A$501,C284)&lt;&gt;1,"Check lot ID",IF(OR(A284="",B284="",E284="",F284=""),"Complete required fields",IF(COUNTIF($B$2:$B$501,B284)&gt;1,"Duplicate sale ID",IF(AND(D284&lt;&gt;"",COUNTIF(Clients!$A$2:$A$501,D284)&lt;&gt;1),"Check client ID",IF(VLOOKUP(C284,Inventory!$A$2:$L$501,12,FALSE)&lt;0,"OVER SOLD","OK"))))))</f>
        <v/>
      </c>
    </row>
    <row r="285" ht="23" customHeight="1">
      <c r="A285" s="18" t="n"/>
      <c r="B285" s="14" t="n"/>
      <c r="C285" s="14" t="n"/>
      <c r="D285" s="14" t="n"/>
      <c r="E285" s="15" t="n"/>
      <c r="F285" s="16" t="n"/>
      <c r="G285" s="13">
        <f>IF(C285="","",ROUND(E285*F285,2))</f>
        <v/>
      </c>
      <c r="H285" s="13">
        <f>IF(C285="","",IFERROR(VLOOKUP(C285,Inventory!$A$2:$J$501,9,FALSE),0))</f>
        <v/>
      </c>
      <c r="I285" s="13">
        <f>IF(C285="","",ROUND(E285*H285,2))</f>
        <v/>
      </c>
      <c r="J285" s="16" t="n"/>
      <c r="K285" s="16" t="n"/>
      <c r="L285" s="13">
        <f>IF(C285="","",ROUND(G285-I285-J285-K285,2))</f>
        <v/>
      </c>
      <c r="M285" s="15" t="n"/>
      <c r="N285" s="15" t="n"/>
      <c r="O285" s="12">
        <f>IF(C285="","",IFERROR(VLOOKUP(C285,Inventory!$A$2:$B$501,2,FALSE),"Unknown lot"))</f>
        <v/>
      </c>
      <c r="P285" s="12">
        <f>IF(D285="","",IFERROR(VLOOKUP(D285,Clients!$A$2:$B$501,2,FALSE),"Unknown client"))</f>
        <v/>
      </c>
      <c r="Q285" s="12">
        <f>IF(C285="","",IF(COUNTIF(Inventory!$A$2:$A$501,C285)&lt;&gt;1,"Check lot ID",IF(OR(A285="",B285="",E285="",F285=""),"Complete required fields",IF(COUNTIF($B$2:$B$501,B285)&gt;1,"Duplicate sale ID",IF(AND(D285&lt;&gt;"",COUNTIF(Clients!$A$2:$A$501,D285)&lt;&gt;1),"Check client ID",IF(VLOOKUP(C285,Inventory!$A$2:$L$501,12,FALSE)&lt;0,"OVER SOLD","OK"))))))</f>
        <v/>
      </c>
    </row>
    <row r="286" ht="23" customHeight="1">
      <c r="A286" s="17" t="n"/>
      <c r="B286" s="9" t="n"/>
      <c r="C286" s="9" t="n"/>
      <c r="D286" s="9" t="n"/>
      <c r="E286" s="10" t="n"/>
      <c r="F286" s="11" t="n"/>
      <c r="G286" s="13">
        <f>IF(C286="","",ROUND(E286*F286,2))</f>
        <v/>
      </c>
      <c r="H286" s="13">
        <f>IF(C286="","",IFERROR(VLOOKUP(C286,Inventory!$A$2:$J$501,9,FALSE),0))</f>
        <v/>
      </c>
      <c r="I286" s="13">
        <f>IF(C286="","",ROUND(E286*H286,2))</f>
        <v/>
      </c>
      <c r="J286" s="11" t="n"/>
      <c r="K286" s="11" t="n"/>
      <c r="L286" s="13">
        <f>IF(C286="","",ROUND(G286-I286-J286-K286,2))</f>
        <v/>
      </c>
      <c r="M286" s="10" t="n"/>
      <c r="N286" s="10" t="n"/>
      <c r="O286" s="12">
        <f>IF(C286="","",IFERROR(VLOOKUP(C286,Inventory!$A$2:$B$501,2,FALSE),"Unknown lot"))</f>
        <v/>
      </c>
      <c r="P286" s="12">
        <f>IF(D286="","",IFERROR(VLOOKUP(D286,Clients!$A$2:$B$501,2,FALSE),"Unknown client"))</f>
        <v/>
      </c>
      <c r="Q286" s="12">
        <f>IF(C286="","",IF(COUNTIF(Inventory!$A$2:$A$501,C286)&lt;&gt;1,"Check lot ID",IF(OR(A286="",B286="",E286="",F286=""),"Complete required fields",IF(COUNTIF($B$2:$B$501,B286)&gt;1,"Duplicate sale ID",IF(AND(D286&lt;&gt;"",COUNTIF(Clients!$A$2:$A$501,D286)&lt;&gt;1),"Check client ID",IF(VLOOKUP(C286,Inventory!$A$2:$L$501,12,FALSE)&lt;0,"OVER SOLD","OK"))))))</f>
        <v/>
      </c>
    </row>
    <row r="287" ht="23" customHeight="1">
      <c r="A287" s="18" t="n"/>
      <c r="B287" s="14" t="n"/>
      <c r="C287" s="14" t="n"/>
      <c r="D287" s="14" t="n"/>
      <c r="E287" s="15" t="n"/>
      <c r="F287" s="16" t="n"/>
      <c r="G287" s="13">
        <f>IF(C287="","",ROUND(E287*F287,2))</f>
        <v/>
      </c>
      <c r="H287" s="13">
        <f>IF(C287="","",IFERROR(VLOOKUP(C287,Inventory!$A$2:$J$501,9,FALSE),0))</f>
        <v/>
      </c>
      <c r="I287" s="13">
        <f>IF(C287="","",ROUND(E287*H287,2))</f>
        <v/>
      </c>
      <c r="J287" s="16" t="n"/>
      <c r="K287" s="16" t="n"/>
      <c r="L287" s="13">
        <f>IF(C287="","",ROUND(G287-I287-J287-K287,2))</f>
        <v/>
      </c>
      <c r="M287" s="15" t="n"/>
      <c r="N287" s="15" t="n"/>
      <c r="O287" s="12">
        <f>IF(C287="","",IFERROR(VLOOKUP(C287,Inventory!$A$2:$B$501,2,FALSE),"Unknown lot"))</f>
        <v/>
      </c>
      <c r="P287" s="12">
        <f>IF(D287="","",IFERROR(VLOOKUP(D287,Clients!$A$2:$B$501,2,FALSE),"Unknown client"))</f>
        <v/>
      </c>
      <c r="Q287" s="12">
        <f>IF(C287="","",IF(COUNTIF(Inventory!$A$2:$A$501,C287)&lt;&gt;1,"Check lot ID",IF(OR(A287="",B287="",E287="",F287=""),"Complete required fields",IF(COUNTIF($B$2:$B$501,B287)&gt;1,"Duplicate sale ID",IF(AND(D287&lt;&gt;"",COUNTIF(Clients!$A$2:$A$501,D287)&lt;&gt;1),"Check client ID",IF(VLOOKUP(C287,Inventory!$A$2:$L$501,12,FALSE)&lt;0,"OVER SOLD","OK"))))))</f>
        <v/>
      </c>
    </row>
    <row r="288" ht="23" customHeight="1">
      <c r="A288" s="17" t="n"/>
      <c r="B288" s="9" t="n"/>
      <c r="C288" s="9" t="n"/>
      <c r="D288" s="9" t="n"/>
      <c r="E288" s="10" t="n"/>
      <c r="F288" s="11" t="n"/>
      <c r="G288" s="13">
        <f>IF(C288="","",ROUND(E288*F288,2))</f>
        <v/>
      </c>
      <c r="H288" s="13">
        <f>IF(C288="","",IFERROR(VLOOKUP(C288,Inventory!$A$2:$J$501,9,FALSE),0))</f>
        <v/>
      </c>
      <c r="I288" s="13">
        <f>IF(C288="","",ROUND(E288*H288,2))</f>
        <v/>
      </c>
      <c r="J288" s="11" t="n"/>
      <c r="K288" s="11" t="n"/>
      <c r="L288" s="13">
        <f>IF(C288="","",ROUND(G288-I288-J288-K288,2))</f>
        <v/>
      </c>
      <c r="M288" s="10" t="n"/>
      <c r="N288" s="10" t="n"/>
      <c r="O288" s="12">
        <f>IF(C288="","",IFERROR(VLOOKUP(C288,Inventory!$A$2:$B$501,2,FALSE),"Unknown lot"))</f>
        <v/>
      </c>
      <c r="P288" s="12">
        <f>IF(D288="","",IFERROR(VLOOKUP(D288,Clients!$A$2:$B$501,2,FALSE),"Unknown client"))</f>
        <v/>
      </c>
      <c r="Q288" s="12">
        <f>IF(C288="","",IF(COUNTIF(Inventory!$A$2:$A$501,C288)&lt;&gt;1,"Check lot ID",IF(OR(A288="",B288="",E288="",F288=""),"Complete required fields",IF(COUNTIF($B$2:$B$501,B288)&gt;1,"Duplicate sale ID",IF(AND(D288&lt;&gt;"",COUNTIF(Clients!$A$2:$A$501,D288)&lt;&gt;1),"Check client ID",IF(VLOOKUP(C288,Inventory!$A$2:$L$501,12,FALSE)&lt;0,"OVER SOLD","OK"))))))</f>
        <v/>
      </c>
    </row>
    <row r="289" ht="23" customHeight="1">
      <c r="A289" s="18" t="n"/>
      <c r="B289" s="14" t="n"/>
      <c r="C289" s="14" t="n"/>
      <c r="D289" s="14" t="n"/>
      <c r="E289" s="15" t="n"/>
      <c r="F289" s="16" t="n"/>
      <c r="G289" s="13">
        <f>IF(C289="","",ROUND(E289*F289,2))</f>
        <v/>
      </c>
      <c r="H289" s="13">
        <f>IF(C289="","",IFERROR(VLOOKUP(C289,Inventory!$A$2:$J$501,9,FALSE),0))</f>
        <v/>
      </c>
      <c r="I289" s="13">
        <f>IF(C289="","",ROUND(E289*H289,2))</f>
        <v/>
      </c>
      <c r="J289" s="16" t="n"/>
      <c r="K289" s="16" t="n"/>
      <c r="L289" s="13">
        <f>IF(C289="","",ROUND(G289-I289-J289-K289,2))</f>
        <v/>
      </c>
      <c r="M289" s="15" t="n"/>
      <c r="N289" s="15" t="n"/>
      <c r="O289" s="12">
        <f>IF(C289="","",IFERROR(VLOOKUP(C289,Inventory!$A$2:$B$501,2,FALSE),"Unknown lot"))</f>
        <v/>
      </c>
      <c r="P289" s="12">
        <f>IF(D289="","",IFERROR(VLOOKUP(D289,Clients!$A$2:$B$501,2,FALSE),"Unknown client"))</f>
        <v/>
      </c>
      <c r="Q289" s="12">
        <f>IF(C289="","",IF(COUNTIF(Inventory!$A$2:$A$501,C289)&lt;&gt;1,"Check lot ID",IF(OR(A289="",B289="",E289="",F289=""),"Complete required fields",IF(COUNTIF($B$2:$B$501,B289)&gt;1,"Duplicate sale ID",IF(AND(D289&lt;&gt;"",COUNTIF(Clients!$A$2:$A$501,D289)&lt;&gt;1),"Check client ID",IF(VLOOKUP(C289,Inventory!$A$2:$L$501,12,FALSE)&lt;0,"OVER SOLD","OK"))))))</f>
        <v/>
      </c>
    </row>
    <row r="290" ht="23" customHeight="1">
      <c r="A290" s="17" t="n"/>
      <c r="B290" s="9" t="n"/>
      <c r="C290" s="9" t="n"/>
      <c r="D290" s="9" t="n"/>
      <c r="E290" s="10" t="n"/>
      <c r="F290" s="11" t="n"/>
      <c r="G290" s="13">
        <f>IF(C290="","",ROUND(E290*F290,2))</f>
        <v/>
      </c>
      <c r="H290" s="13">
        <f>IF(C290="","",IFERROR(VLOOKUP(C290,Inventory!$A$2:$J$501,9,FALSE),0))</f>
        <v/>
      </c>
      <c r="I290" s="13">
        <f>IF(C290="","",ROUND(E290*H290,2))</f>
        <v/>
      </c>
      <c r="J290" s="11" t="n"/>
      <c r="K290" s="11" t="n"/>
      <c r="L290" s="13">
        <f>IF(C290="","",ROUND(G290-I290-J290-K290,2))</f>
        <v/>
      </c>
      <c r="M290" s="10" t="n"/>
      <c r="N290" s="10" t="n"/>
      <c r="O290" s="12">
        <f>IF(C290="","",IFERROR(VLOOKUP(C290,Inventory!$A$2:$B$501,2,FALSE),"Unknown lot"))</f>
        <v/>
      </c>
      <c r="P290" s="12">
        <f>IF(D290="","",IFERROR(VLOOKUP(D290,Clients!$A$2:$B$501,2,FALSE),"Unknown client"))</f>
        <v/>
      </c>
      <c r="Q290" s="12">
        <f>IF(C290="","",IF(COUNTIF(Inventory!$A$2:$A$501,C290)&lt;&gt;1,"Check lot ID",IF(OR(A290="",B290="",E290="",F290=""),"Complete required fields",IF(COUNTIF($B$2:$B$501,B290)&gt;1,"Duplicate sale ID",IF(AND(D290&lt;&gt;"",COUNTIF(Clients!$A$2:$A$501,D290)&lt;&gt;1),"Check client ID",IF(VLOOKUP(C290,Inventory!$A$2:$L$501,12,FALSE)&lt;0,"OVER SOLD","OK"))))))</f>
        <v/>
      </c>
    </row>
    <row r="291" ht="23" customHeight="1">
      <c r="A291" s="18" t="n"/>
      <c r="B291" s="14" t="n"/>
      <c r="C291" s="14" t="n"/>
      <c r="D291" s="14" t="n"/>
      <c r="E291" s="15" t="n"/>
      <c r="F291" s="16" t="n"/>
      <c r="G291" s="13">
        <f>IF(C291="","",ROUND(E291*F291,2))</f>
        <v/>
      </c>
      <c r="H291" s="13">
        <f>IF(C291="","",IFERROR(VLOOKUP(C291,Inventory!$A$2:$J$501,9,FALSE),0))</f>
        <v/>
      </c>
      <c r="I291" s="13">
        <f>IF(C291="","",ROUND(E291*H291,2))</f>
        <v/>
      </c>
      <c r="J291" s="16" t="n"/>
      <c r="K291" s="16" t="n"/>
      <c r="L291" s="13">
        <f>IF(C291="","",ROUND(G291-I291-J291-K291,2))</f>
        <v/>
      </c>
      <c r="M291" s="15" t="n"/>
      <c r="N291" s="15" t="n"/>
      <c r="O291" s="12">
        <f>IF(C291="","",IFERROR(VLOOKUP(C291,Inventory!$A$2:$B$501,2,FALSE),"Unknown lot"))</f>
        <v/>
      </c>
      <c r="P291" s="12">
        <f>IF(D291="","",IFERROR(VLOOKUP(D291,Clients!$A$2:$B$501,2,FALSE),"Unknown client"))</f>
        <v/>
      </c>
      <c r="Q291" s="12">
        <f>IF(C291="","",IF(COUNTIF(Inventory!$A$2:$A$501,C291)&lt;&gt;1,"Check lot ID",IF(OR(A291="",B291="",E291="",F291=""),"Complete required fields",IF(COUNTIF($B$2:$B$501,B291)&gt;1,"Duplicate sale ID",IF(AND(D291&lt;&gt;"",COUNTIF(Clients!$A$2:$A$501,D291)&lt;&gt;1),"Check client ID",IF(VLOOKUP(C291,Inventory!$A$2:$L$501,12,FALSE)&lt;0,"OVER SOLD","OK"))))))</f>
        <v/>
      </c>
    </row>
    <row r="292" ht="23" customHeight="1">
      <c r="A292" s="17" t="n"/>
      <c r="B292" s="9" t="n"/>
      <c r="C292" s="9" t="n"/>
      <c r="D292" s="9" t="n"/>
      <c r="E292" s="10" t="n"/>
      <c r="F292" s="11" t="n"/>
      <c r="G292" s="13">
        <f>IF(C292="","",ROUND(E292*F292,2))</f>
        <v/>
      </c>
      <c r="H292" s="13">
        <f>IF(C292="","",IFERROR(VLOOKUP(C292,Inventory!$A$2:$J$501,9,FALSE),0))</f>
        <v/>
      </c>
      <c r="I292" s="13">
        <f>IF(C292="","",ROUND(E292*H292,2))</f>
        <v/>
      </c>
      <c r="J292" s="11" t="n"/>
      <c r="K292" s="11" t="n"/>
      <c r="L292" s="13">
        <f>IF(C292="","",ROUND(G292-I292-J292-K292,2))</f>
        <v/>
      </c>
      <c r="M292" s="10" t="n"/>
      <c r="N292" s="10" t="n"/>
      <c r="O292" s="12">
        <f>IF(C292="","",IFERROR(VLOOKUP(C292,Inventory!$A$2:$B$501,2,FALSE),"Unknown lot"))</f>
        <v/>
      </c>
      <c r="P292" s="12">
        <f>IF(D292="","",IFERROR(VLOOKUP(D292,Clients!$A$2:$B$501,2,FALSE),"Unknown client"))</f>
        <v/>
      </c>
      <c r="Q292" s="12">
        <f>IF(C292="","",IF(COUNTIF(Inventory!$A$2:$A$501,C292)&lt;&gt;1,"Check lot ID",IF(OR(A292="",B292="",E292="",F292=""),"Complete required fields",IF(COUNTIF($B$2:$B$501,B292)&gt;1,"Duplicate sale ID",IF(AND(D292&lt;&gt;"",COUNTIF(Clients!$A$2:$A$501,D292)&lt;&gt;1),"Check client ID",IF(VLOOKUP(C292,Inventory!$A$2:$L$501,12,FALSE)&lt;0,"OVER SOLD","OK"))))))</f>
        <v/>
      </c>
    </row>
    <row r="293" ht="23" customHeight="1">
      <c r="A293" s="18" t="n"/>
      <c r="B293" s="14" t="n"/>
      <c r="C293" s="14" t="n"/>
      <c r="D293" s="14" t="n"/>
      <c r="E293" s="15" t="n"/>
      <c r="F293" s="16" t="n"/>
      <c r="G293" s="13">
        <f>IF(C293="","",ROUND(E293*F293,2))</f>
        <v/>
      </c>
      <c r="H293" s="13">
        <f>IF(C293="","",IFERROR(VLOOKUP(C293,Inventory!$A$2:$J$501,9,FALSE),0))</f>
        <v/>
      </c>
      <c r="I293" s="13">
        <f>IF(C293="","",ROUND(E293*H293,2))</f>
        <v/>
      </c>
      <c r="J293" s="16" t="n"/>
      <c r="K293" s="16" t="n"/>
      <c r="L293" s="13">
        <f>IF(C293="","",ROUND(G293-I293-J293-K293,2))</f>
        <v/>
      </c>
      <c r="M293" s="15" t="n"/>
      <c r="N293" s="15" t="n"/>
      <c r="O293" s="12">
        <f>IF(C293="","",IFERROR(VLOOKUP(C293,Inventory!$A$2:$B$501,2,FALSE),"Unknown lot"))</f>
        <v/>
      </c>
      <c r="P293" s="12">
        <f>IF(D293="","",IFERROR(VLOOKUP(D293,Clients!$A$2:$B$501,2,FALSE),"Unknown client"))</f>
        <v/>
      </c>
      <c r="Q293" s="12">
        <f>IF(C293="","",IF(COUNTIF(Inventory!$A$2:$A$501,C293)&lt;&gt;1,"Check lot ID",IF(OR(A293="",B293="",E293="",F293=""),"Complete required fields",IF(COUNTIF($B$2:$B$501,B293)&gt;1,"Duplicate sale ID",IF(AND(D293&lt;&gt;"",COUNTIF(Clients!$A$2:$A$501,D293)&lt;&gt;1),"Check client ID",IF(VLOOKUP(C293,Inventory!$A$2:$L$501,12,FALSE)&lt;0,"OVER SOLD","OK"))))))</f>
        <v/>
      </c>
    </row>
    <row r="294" ht="23" customHeight="1">
      <c r="A294" s="17" t="n"/>
      <c r="B294" s="9" t="n"/>
      <c r="C294" s="9" t="n"/>
      <c r="D294" s="9" t="n"/>
      <c r="E294" s="10" t="n"/>
      <c r="F294" s="11" t="n"/>
      <c r="G294" s="13">
        <f>IF(C294="","",ROUND(E294*F294,2))</f>
        <v/>
      </c>
      <c r="H294" s="13">
        <f>IF(C294="","",IFERROR(VLOOKUP(C294,Inventory!$A$2:$J$501,9,FALSE),0))</f>
        <v/>
      </c>
      <c r="I294" s="13">
        <f>IF(C294="","",ROUND(E294*H294,2))</f>
        <v/>
      </c>
      <c r="J294" s="11" t="n"/>
      <c r="K294" s="11" t="n"/>
      <c r="L294" s="13">
        <f>IF(C294="","",ROUND(G294-I294-J294-K294,2))</f>
        <v/>
      </c>
      <c r="M294" s="10" t="n"/>
      <c r="N294" s="10" t="n"/>
      <c r="O294" s="12">
        <f>IF(C294="","",IFERROR(VLOOKUP(C294,Inventory!$A$2:$B$501,2,FALSE),"Unknown lot"))</f>
        <v/>
      </c>
      <c r="P294" s="12">
        <f>IF(D294="","",IFERROR(VLOOKUP(D294,Clients!$A$2:$B$501,2,FALSE),"Unknown client"))</f>
        <v/>
      </c>
      <c r="Q294" s="12">
        <f>IF(C294="","",IF(COUNTIF(Inventory!$A$2:$A$501,C294)&lt;&gt;1,"Check lot ID",IF(OR(A294="",B294="",E294="",F294=""),"Complete required fields",IF(COUNTIF($B$2:$B$501,B294)&gt;1,"Duplicate sale ID",IF(AND(D294&lt;&gt;"",COUNTIF(Clients!$A$2:$A$501,D294)&lt;&gt;1),"Check client ID",IF(VLOOKUP(C294,Inventory!$A$2:$L$501,12,FALSE)&lt;0,"OVER SOLD","OK"))))))</f>
        <v/>
      </c>
    </row>
    <row r="295" ht="23" customHeight="1">
      <c r="A295" s="18" t="n"/>
      <c r="B295" s="14" t="n"/>
      <c r="C295" s="14" t="n"/>
      <c r="D295" s="14" t="n"/>
      <c r="E295" s="15" t="n"/>
      <c r="F295" s="16" t="n"/>
      <c r="G295" s="13">
        <f>IF(C295="","",ROUND(E295*F295,2))</f>
        <v/>
      </c>
      <c r="H295" s="13">
        <f>IF(C295="","",IFERROR(VLOOKUP(C295,Inventory!$A$2:$J$501,9,FALSE),0))</f>
        <v/>
      </c>
      <c r="I295" s="13">
        <f>IF(C295="","",ROUND(E295*H295,2))</f>
        <v/>
      </c>
      <c r="J295" s="16" t="n"/>
      <c r="K295" s="16" t="n"/>
      <c r="L295" s="13">
        <f>IF(C295="","",ROUND(G295-I295-J295-K295,2))</f>
        <v/>
      </c>
      <c r="M295" s="15" t="n"/>
      <c r="N295" s="15" t="n"/>
      <c r="O295" s="12">
        <f>IF(C295="","",IFERROR(VLOOKUP(C295,Inventory!$A$2:$B$501,2,FALSE),"Unknown lot"))</f>
        <v/>
      </c>
      <c r="P295" s="12">
        <f>IF(D295="","",IFERROR(VLOOKUP(D295,Clients!$A$2:$B$501,2,FALSE),"Unknown client"))</f>
        <v/>
      </c>
      <c r="Q295" s="12">
        <f>IF(C295="","",IF(COUNTIF(Inventory!$A$2:$A$501,C295)&lt;&gt;1,"Check lot ID",IF(OR(A295="",B295="",E295="",F295=""),"Complete required fields",IF(COUNTIF($B$2:$B$501,B295)&gt;1,"Duplicate sale ID",IF(AND(D295&lt;&gt;"",COUNTIF(Clients!$A$2:$A$501,D295)&lt;&gt;1),"Check client ID",IF(VLOOKUP(C295,Inventory!$A$2:$L$501,12,FALSE)&lt;0,"OVER SOLD","OK"))))))</f>
        <v/>
      </c>
    </row>
    <row r="296" ht="23" customHeight="1">
      <c r="A296" s="17" t="n"/>
      <c r="B296" s="9" t="n"/>
      <c r="C296" s="9" t="n"/>
      <c r="D296" s="9" t="n"/>
      <c r="E296" s="10" t="n"/>
      <c r="F296" s="11" t="n"/>
      <c r="G296" s="13">
        <f>IF(C296="","",ROUND(E296*F296,2))</f>
        <v/>
      </c>
      <c r="H296" s="13">
        <f>IF(C296="","",IFERROR(VLOOKUP(C296,Inventory!$A$2:$J$501,9,FALSE),0))</f>
        <v/>
      </c>
      <c r="I296" s="13">
        <f>IF(C296="","",ROUND(E296*H296,2))</f>
        <v/>
      </c>
      <c r="J296" s="11" t="n"/>
      <c r="K296" s="11" t="n"/>
      <c r="L296" s="13">
        <f>IF(C296="","",ROUND(G296-I296-J296-K296,2))</f>
        <v/>
      </c>
      <c r="M296" s="10" t="n"/>
      <c r="N296" s="10" t="n"/>
      <c r="O296" s="12">
        <f>IF(C296="","",IFERROR(VLOOKUP(C296,Inventory!$A$2:$B$501,2,FALSE),"Unknown lot"))</f>
        <v/>
      </c>
      <c r="P296" s="12">
        <f>IF(D296="","",IFERROR(VLOOKUP(D296,Clients!$A$2:$B$501,2,FALSE),"Unknown client"))</f>
        <v/>
      </c>
      <c r="Q296" s="12">
        <f>IF(C296="","",IF(COUNTIF(Inventory!$A$2:$A$501,C296)&lt;&gt;1,"Check lot ID",IF(OR(A296="",B296="",E296="",F296=""),"Complete required fields",IF(COUNTIF($B$2:$B$501,B296)&gt;1,"Duplicate sale ID",IF(AND(D296&lt;&gt;"",COUNTIF(Clients!$A$2:$A$501,D296)&lt;&gt;1),"Check client ID",IF(VLOOKUP(C296,Inventory!$A$2:$L$501,12,FALSE)&lt;0,"OVER SOLD","OK"))))))</f>
        <v/>
      </c>
    </row>
    <row r="297" ht="23" customHeight="1">
      <c r="A297" s="18" t="n"/>
      <c r="B297" s="14" t="n"/>
      <c r="C297" s="14" t="n"/>
      <c r="D297" s="14" t="n"/>
      <c r="E297" s="15" t="n"/>
      <c r="F297" s="16" t="n"/>
      <c r="G297" s="13">
        <f>IF(C297="","",ROUND(E297*F297,2))</f>
        <v/>
      </c>
      <c r="H297" s="13">
        <f>IF(C297="","",IFERROR(VLOOKUP(C297,Inventory!$A$2:$J$501,9,FALSE),0))</f>
        <v/>
      </c>
      <c r="I297" s="13">
        <f>IF(C297="","",ROUND(E297*H297,2))</f>
        <v/>
      </c>
      <c r="J297" s="16" t="n"/>
      <c r="K297" s="16" t="n"/>
      <c r="L297" s="13">
        <f>IF(C297="","",ROUND(G297-I297-J297-K297,2))</f>
        <v/>
      </c>
      <c r="M297" s="15" t="n"/>
      <c r="N297" s="15" t="n"/>
      <c r="O297" s="12">
        <f>IF(C297="","",IFERROR(VLOOKUP(C297,Inventory!$A$2:$B$501,2,FALSE),"Unknown lot"))</f>
        <v/>
      </c>
      <c r="P297" s="12">
        <f>IF(D297="","",IFERROR(VLOOKUP(D297,Clients!$A$2:$B$501,2,FALSE),"Unknown client"))</f>
        <v/>
      </c>
      <c r="Q297" s="12">
        <f>IF(C297="","",IF(COUNTIF(Inventory!$A$2:$A$501,C297)&lt;&gt;1,"Check lot ID",IF(OR(A297="",B297="",E297="",F297=""),"Complete required fields",IF(COUNTIF($B$2:$B$501,B297)&gt;1,"Duplicate sale ID",IF(AND(D297&lt;&gt;"",COUNTIF(Clients!$A$2:$A$501,D297)&lt;&gt;1),"Check client ID",IF(VLOOKUP(C297,Inventory!$A$2:$L$501,12,FALSE)&lt;0,"OVER SOLD","OK"))))))</f>
        <v/>
      </c>
    </row>
    <row r="298" ht="23" customHeight="1">
      <c r="A298" s="17" t="n"/>
      <c r="B298" s="9" t="n"/>
      <c r="C298" s="9" t="n"/>
      <c r="D298" s="9" t="n"/>
      <c r="E298" s="10" t="n"/>
      <c r="F298" s="11" t="n"/>
      <c r="G298" s="13">
        <f>IF(C298="","",ROUND(E298*F298,2))</f>
        <v/>
      </c>
      <c r="H298" s="13">
        <f>IF(C298="","",IFERROR(VLOOKUP(C298,Inventory!$A$2:$J$501,9,FALSE),0))</f>
        <v/>
      </c>
      <c r="I298" s="13">
        <f>IF(C298="","",ROUND(E298*H298,2))</f>
        <v/>
      </c>
      <c r="J298" s="11" t="n"/>
      <c r="K298" s="11" t="n"/>
      <c r="L298" s="13">
        <f>IF(C298="","",ROUND(G298-I298-J298-K298,2))</f>
        <v/>
      </c>
      <c r="M298" s="10" t="n"/>
      <c r="N298" s="10" t="n"/>
      <c r="O298" s="12">
        <f>IF(C298="","",IFERROR(VLOOKUP(C298,Inventory!$A$2:$B$501,2,FALSE),"Unknown lot"))</f>
        <v/>
      </c>
      <c r="P298" s="12">
        <f>IF(D298="","",IFERROR(VLOOKUP(D298,Clients!$A$2:$B$501,2,FALSE),"Unknown client"))</f>
        <v/>
      </c>
      <c r="Q298" s="12">
        <f>IF(C298="","",IF(COUNTIF(Inventory!$A$2:$A$501,C298)&lt;&gt;1,"Check lot ID",IF(OR(A298="",B298="",E298="",F298=""),"Complete required fields",IF(COUNTIF($B$2:$B$501,B298)&gt;1,"Duplicate sale ID",IF(AND(D298&lt;&gt;"",COUNTIF(Clients!$A$2:$A$501,D298)&lt;&gt;1),"Check client ID",IF(VLOOKUP(C298,Inventory!$A$2:$L$501,12,FALSE)&lt;0,"OVER SOLD","OK"))))))</f>
        <v/>
      </c>
    </row>
    <row r="299" ht="23" customHeight="1">
      <c r="A299" s="18" t="n"/>
      <c r="B299" s="14" t="n"/>
      <c r="C299" s="14" t="n"/>
      <c r="D299" s="14" t="n"/>
      <c r="E299" s="15" t="n"/>
      <c r="F299" s="16" t="n"/>
      <c r="G299" s="13">
        <f>IF(C299="","",ROUND(E299*F299,2))</f>
        <v/>
      </c>
      <c r="H299" s="13">
        <f>IF(C299="","",IFERROR(VLOOKUP(C299,Inventory!$A$2:$J$501,9,FALSE),0))</f>
        <v/>
      </c>
      <c r="I299" s="13">
        <f>IF(C299="","",ROUND(E299*H299,2))</f>
        <v/>
      </c>
      <c r="J299" s="16" t="n"/>
      <c r="K299" s="16" t="n"/>
      <c r="L299" s="13">
        <f>IF(C299="","",ROUND(G299-I299-J299-K299,2))</f>
        <v/>
      </c>
      <c r="M299" s="15" t="n"/>
      <c r="N299" s="15" t="n"/>
      <c r="O299" s="12">
        <f>IF(C299="","",IFERROR(VLOOKUP(C299,Inventory!$A$2:$B$501,2,FALSE),"Unknown lot"))</f>
        <v/>
      </c>
      <c r="P299" s="12">
        <f>IF(D299="","",IFERROR(VLOOKUP(D299,Clients!$A$2:$B$501,2,FALSE),"Unknown client"))</f>
        <v/>
      </c>
      <c r="Q299" s="12">
        <f>IF(C299="","",IF(COUNTIF(Inventory!$A$2:$A$501,C299)&lt;&gt;1,"Check lot ID",IF(OR(A299="",B299="",E299="",F299=""),"Complete required fields",IF(COUNTIF($B$2:$B$501,B299)&gt;1,"Duplicate sale ID",IF(AND(D299&lt;&gt;"",COUNTIF(Clients!$A$2:$A$501,D299)&lt;&gt;1),"Check client ID",IF(VLOOKUP(C299,Inventory!$A$2:$L$501,12,FALSE)&lt;0,"OVER SOLD","OK"))))))</f>
        <v/>
      </c>
    </row>
    <row r="300" ht="23" customHeight="1">
      <c r="A300" s="17" t="n"/>
      <c r="B300" s="9" t="n"/>
      <c r="C300" s="9" t="n"/>
      <c r="D300" s="9" t="n"/>
      <c r="E300" s="10" t="n"/>
      <c r="F300" s="11" t="n"/>
      <c r="G300" s="13">
        <f>IF(C300="","",ROUND(E300*F300,2))</f>
        <v/>
      </c>
      <c r="H300" s="13">
        <f>IF(C300="","",IFERROR(VLOOKUP(C300,Inventory!$A$2:$J$501,9,FALSE),0))</f>
        <v/>
      </c>
      <c r="I300" s="13">
        <f>IF(C300="","",ROUND(E300*H300,2))</f>
        <v/>
      </c>
      <c r="J300" s="11" t="n"/>
      <c r="K300" s="11" t="n"/>
      <c r="L300" s="13">
        <f>IF(C300="","",ROUND(G300-I300-J300-K300,2))</f>
        <v/>
      </c>
      <c r="M300" s="10" t="n"/>
      <c r="N300" s="10" t="n"/>
      <c r="O300" s="12">
        <f>IF(C300="","",IFERROR(VLOOKUP(C300,Inventory!$A$2:$B$501,2,FALSE),"Unknown lot"))</f>
        <v/>
      </c>
      <c r="P300" s="12">
        <f>IF(D300="","",IFERROR(VLOOKUP(D300,Clients!$A$2:$B$501,2,FALSE),"Unknown client"))</f>
        <v/>
      </c>
      <c r="Q300" s="12">
        <f>IF(C300="","",IF(COUNTIF(Inventory!$A$2:$A$501,C300)&lt;&gt;1,"Check lot ID",IF(OR(A300="",B300="",E300="",F300=""),"Complete required fields",IF(COUNTIF($B$2:$B$501,B300)&gt;1,"Duplicate sale ID",IF(AND(D300&lt;&gt;"",COUNTIF(Clients!$A$2:$A$501,D300)&lt;&gt;1),"Check client ID",IF(VLOOKUP(C300,Inventory!$A$2:$L$501,12,FALSE)&lt;0,"OVER SOLD","OK"))))))</f>
        <v/>
      </c>
    </row>
    <row r="301" ht="23" customHeight="1">
      <c r="A301" s="18" t="n"/>
      <c r="B301" s="14" t="n"/>
      <c r="C301" s="14" t="n"/>
      <c r="D301" s="14" t="n"/>
      <c r="E301" s="15" t="n"/>
      <c r="F301" s="16" t="n"/>
      <c r="G301" s="13">
        <f>IF(C301="","",ROUND(E301*F301,2))</f>
        <v/>
      </c>
      <c r="H301" s="13">
        <f>IF(C301="","",IFERROR(VLOOKUP(C301,Inventory!$A$2:$J$501,9,FALSE),0))</f>
        <v/>
      </c>
      <c r="I301" s="13">
        <f>IF(C301="","",ROUND(E301*H301,2))</f>
        <v/>
      </c>
      <c r="J301" s="16" t="n"/>
      <c r="K301" s="16" t="n"/>
      <c r="L301" s="13">
        <f>IF(C301="","",ROUND(G301-I301-J301-K301,2))</f>
        <v/>
      </c>
      <c r="M301" s="15" t="n"/>
      <c r="N301" s="15" t="n"/>
      <c r="O301" s="12">
        <f>IF(C301="","",IFERROR(VLOOKUP(C301,Inventory!$A$2:$B$501,2,FALSE),"Unknown lot"))</f>
        <v/>
      </c>
      <c r="P301" s="12">
        <f>IF(D301="","",IFERROR(VLOOKUP(D301,Clients!$A$2:$B$501,2,FALSE),"Unknown client"))</f>
        <v/>
      </c>
      <c r="Q301" s="12">
        <f>IF(C301="","",IF(COUNTIF(Inventory!$A$2:$A$501,C301)&lt;&gt;1,"Check lot ID",IF(OR(A301="",B301="",E301="",F301=""),"Complete required fields",IF(COUNTIF($B$2:$B$501,B301)&gt;1,"Duplicate sale ID",IF(AND(D301&lt;&gt;"",COUNTIF(Clients!$A$2:$A$501,D301)&lt;&gt;1),"Check client ID",IF(VLOOKUP(C301,Inventory!$A$2:$L$501,12,FALSE)&lt;0,"OVER SOLD","OK"))))))</f>
        <v/>
      </c>
    </row>
    <row r="302" ht="23" customHeight="1">
      <c r="A302" s="17" t="n"/>
      <c r="B302" s="9" t="n"/>
      <c r="C302" s="9" t="n"/>
      <c r="D302" s="9" t="n"/>
      <c r="E302" s="10" t="n"/>
      <c r="F302" s="11" t="n"/>
      <c r="G302" s="13">
        <f>IF(C302="","",ROUND(E302*F302,2))</f>
        <v/>
      </c>
      <c r="H302" s="13">
        <f>IF(C302="","",IFERROR(VLOOKUP(C302,Inventory!$A$2:$J$501,9,FALSE),0))</f>
        <v/>
      </c>
      <c r="I302" s="13">
        <f>IF(C302="","",ROUND(E302*H302,2))</f>
        <v/>
      </c>
      <c r="J302" s="11" t="n"/>
      <c r="K302" s="11" t="n"/>
      <c r="L302" s="13">
        <f>IF(C302="","",ROUND(G302-I302-J302-K302,2))</f>
        <v/>
      </c>
      <c r="M302" s="10" t="n"/>
      <c r="N302" s="10" t="n"/>
      <c r="O302" s="12">
        <f>IF(C302="","",IFERROR(VLOOKUP(C302,Inventory!$A$2:$B$501,2,FALSE),"Unknown lot"))</f>
        <v/>
      </c>
      <c r="P302" s="12">
        <f>IF(D302="","",IFERROR(VLOOKUP(D302,Clients!$A$2:$B$501,2,FALSE),"Unknown client"))</f>
        <v/>
      </c>
      <c r="Q302" s="12">
        <f>IF(C302="","",IF(COUNTIF(Inventory!$A$2:$A$501,C302)&lt;&gt;1,"Check lot ID",IF(OR(A302="",B302="",E302="",F302=""),"Complete required fields",IF(COUNTIF($B$2:$B$501,B302)&gt;1,"Duplicate sale ID",IF(AND(D302&lt;&gt;"",COUNTIF(Clients!$A$2:$A$501,D302)&lt;&gt;1),"Check client ID",IF(VLOOKUP(C302,Inventory!$A$2:$L$501,12,FALSE)&lt;0,"OVER SOLD","OK"))))))</f>
        <v/>
      </c>
    </row>
    <row r="303" ht="23" customHeight="1">
      <c r="A303" s="18" t="n"/>
      <c r="B303" s="14" t="n"/>
      <c r="C303" s="14" t="n"/>
      <c r="D303" s="14" t="n"/>
      <c r="E303" s="15" t="n"/>
      <c r="F303" s="16" t="n"/>
      <c r="G303" s="13">
        <f>IF(C303="","",ROUND(E303*F303,2))</f>
        <v/>
      </c>
      <c r="H303" s="13">
        <f>IF(C303="","",IFERROR(VLOOKUP(C303,Inventory!$A$2:$J$501,9,FALSE),0))</f>
        <v/>
      </c>
      <c r="I303" s="13">
        <f>IF(C303="","",ROUND(E303*H303,2))</f>
        <v/>
      </c>
      <c r="J303" s="16" t="n"/>
      <c r="K303" s="16" t="n"/>
      <c r="L303" s="13">
        <f>IF(C303="","",ROUND(G303-I303-J303-K303,2))</f>
        <v/>
      </c>
      <c r="M303" s="15" t="n"/>
      <c r="N303" s="15" t="n"/>
      <c r="O303" s="12">
        <f>IF(C303="","",IFERROR(VLOOKUP(C303,Inventory!$A$2:$B$501,2,FALSE),"Unknown lot"))</f>
        <v/>
      </c>
      <c r="P303" s="12">
        <f>IF(D303="","",IFERROR(VLOOKUP(D303,Clients!$A$2:$B$501,2,FALSE),"Unknown client"))</f>
        <v/>
      </c>
      <c r="Q303" s="12">
        <f>IF(C303="","",IF(COUNTIF(Inventory!$A$2:$A$501,C303)&lt;&gt;1,"Check lot ID",IF(OR(A303="",B303="",E303="",F303=""),"Complete required fields",IF(COUNTIF($B$2:$B$501,B303)&gt;1,"Duplicate sale ID",IF(AND(D303&lt;&gt;"",COUNTIF(Clients!$A$2:$A$501,D303)&lt;&gt;1),"Check client ID",IF(VLOOKUP(C303,Inventory!$A$2:$L$501,12,FALSE)&lt;0,"OVER SOLD","OK"))))))</f>
        <v/>
      </c>
    </row>
    <row r="304" ht="23" customHeight="1">
      <c r="A304" s="17" t="n"/>
      <c r="B304" s="9" t="n"/>
      <c r="C304" s="9" t="n"/>
      <c r="D304" s="9" t="n"/>
      <c r="E304" s="10" t="n"/>
      <c r="F304" s="11" t="n"/>
      <c r="G304" s="13">
        <f>IF(C304="","",ROUND(E304*F304,2))</f>
        <v/>
      </c>
      <c r="H304" s="13">
        <f>IF(C304="","",IFERROR(VLOOKUP(C304,Inventory!$A$2:$J$501,9,FALSE),0))</f>
        <v/>
      </c>
      <c r="I304" s="13">
        <f>IF(C304="","",ROUND(E304*H304,2))</f>
        <v/>
      </c>
      <c r="J304" s="11" t="n"/>
      <c r="K304" s="11" t="n"/>
      <c r="L304" s="13">
        <f>IF(C304="","",ROUND(G304-I304-J304-K304,2))</f>
        <v/>
      </c>
      <c r="M304" s="10" t="n"/>
      <c r="N304" s="10" t="n"/>
      <c r="O304" s="12">
        <f>IF(C304="","",IFERROR(VLOOKUP(C304,Inventory!$A$2:$B$501,2,FALSE),"Unknown lot"))</f>
        <v/>
      </c>
      <c r="P304" s="12">
        <f>IF(D304="","",IFERROR(VLOOKUP(D304,Clients!$A$2:$B$501,2,FALSE),"Unknown client"))</f>
        <v/>
      </c>
      <c r="Q304" s="12">
        <f>IF(C304="","",IF(COUNTIF(Inventory!$A$2:$A$501,C304)&lt;&gt;1,"Check lot ID",IF(OR(A304="",B304="",E304="",F304=""),"Complete required fields",IF(COUNTIF($B$2:$B$501,B304)&gt;1,"Duplicate sale ID",IF(AND(D304&lt;&gt;"",COUNTIF(Clients!$A$2:$A$501,D304)&lt;&gt;1),"Check client ID",IF(VLOOKUP(C304,Inventory!$A$2:$L$501,12,FALSE)&lt;0,"OVER SOLD","OK"))))))</f>
        <v/>
      </c>
    </row>
    <row r="305" ht="23" customHeight="1">
      <c r="A305" s="18" t="n"/>
      <c r="B305" s="14" t="n"/>
      <c r="C305" s="14" t="n"/>
      <c r="D305" s="14" t="n"/>
      <c r="E305" s="15" t="n"/>
      <c r="F305" s="16" t="n"/>
      <c r="G305" s="13">
        <f>IF(C305="","",ROUND(E305*F305,2))</f>
        <v/>
      </c>
      <c r="H305" s="13">
        <f>IF(C305="","",IFERROR(VLOOKUP(C305,Inventory!$A$2:$J$501,9,FALSE),0))</f>
        <v/>
      </c>
      <c r="I305" s="13">
        <f>IF(C305="","",ROUND(E305*H305,2))</f>
        <v/>
      </c>
      <c r="J305" s="16" t="n"/>
      <c r="K305" s="16" t="n"/>
      <c r="L305" s="13">
        <f>IF(C305="","",ROUND(G305-I305-J305-K305,2))</f>
        <v/>
      </c>
      <c r="M305" s="15" t="n"/>
      <c r="N305" s="15" t="n"/>
      <c r="O305" s="12">
        <f>IF(C305="","",IFERROR(VLOOKUP(C305,Inventory!$A$2:$B$501,2,FALSE),"Unknown lot"))</f>
        <v/>
      </c>
      <c r="P305" s="12">
        <f>IF(D305="","",IFERROR(VLOOKUP(D305,Clients!$A$2:$B$501,2,FALSE),"Unknown client"))</f>
        <v/>
      </c>
      <c r="Q305" s="12">
        <f>IF(C305="","",IF(COUNTIF(Inventory!$A$2:$A$501,C305)&lt;&gt;1,"Check lot ID",IF(OR(A305="",B305="",E305="",F305=""),"Complete required fields",IF(COUNTIF($B$2:$B$501,B305)&gt;1,"Duplicate sale ID",IF(AND(D305&lt;&gt;"",COUNTIF(Clients!$A$2:$A$501,D305)&lt;&gt;1),"Check client ID",IF(VLOOKUP(C305,Inventory!$A$2:$L$501,12,FALSE)&lt;0,"OVER SOLD","OK"))))))</f>
        <v/>
      </c>
    </row>
    <row r="306" ht="23" customHeight="1">
      <c r="A306" s="17" t="n"/>
      <c r="B306" s="9" t="n"/>
      <c r="C306" s="9" t="n"/>
      <c r="D306" s="9" t="n"/>
      <c r="E306" s="10" t="n"/>
      <c r="F306" s="11" t="n"/>
      <c r="G306" s="13">
        <f>IF(C306="","",ROUND(E306*F306,2))</f>
        <v/>
      </c>
      <c r="H306" s="13">
        <f>IF(C306="","",IFERROR(VLOOKUP(C306,Inventory!$A$2:$J$501,9,FALSE),0))</f>
        <v/>
      </c>
      <c r="I306" s="13">
        <f>IF(C306="","",ROUND(E306*H306,2))</f>
        <v/>
      </c>
      <c r="J306" s="11" t="n"/>
      <c r="K306" s="11" t="n"/>
      <c r="L306" s="13">
        <f>IF(C306="","",ROUND(G306-I306-J306-K306,2))</f>
        <v/>
      </c>
      <c r="M306" s="10" t="n"/>
      <c r="N306" s="10" t="n"/>
      <c r="O306" s="12">
        <f>IF(C306="","",IFERROR(VLOOKUP(C306,Inventory!$A$2:$B$501,2,FALSE),"Unknown lot"))</f>
        <v/>
      </c>
      <c r="P306" s="12">
        <f>IF(D306="","",IFERROR(VLOOKUP(D306,Clients!$A$2:$B$501,2,FALSE),"Unknown client"))</f>
        <v/>
      </c>
      <c r="Q306" s="12">
        <f>IF(C306="","",IF(COUNTIF(Inventory!$A$2:$A$501,C306)&lt;&gt;1,"Check lot ID",IF(OR(A306="",B306="",E306="",F306=""),"Complete required fields",IF(COUNTIF($B$2:$B$501,B306)&gt;1,"Duplicate sale ID",IF(AND(D306&lt;&gt;"",COUNTIF(Clients!$A$2:$A$501,D306)&lt;&gt;1),"Check client ID",IF(VLOOKUP(C306,Inventory!$A$2:$L$501,12,FALSE)&lt;0,"OVER SOLD","OK"))))))</f>
        <v/>
      </c>
    </row>
    <row r="307" ht="23" customHeight="1">
      <c r="A307" s="18" t="n"/>
      <c r="B307" s="14" t="n"/>
      <c r="C307" s="14" t="n"/>
      <c r="D307" s="14" t="n"/>
      <c r="E307" s="15" t="n"/>
      <c r="F307" s="16" t="n"/>
      <c r="G307" s="13">
        <f>IF(C307="","",ROUND(E307*F307,2))</f>
        <v/>
      </c>
      <c r="H307" s="13">
        <f>IF(C307="","",IFERROR(VLOOKUP(C307,Inventory!$A$2:$J$501,9,FALSE),0))</f>
        <v/>
      </c>
      <c r="I307" s="13">
        <f>IF(C307="","",ROUND(E307*H307,2))</f>
        <v/>
      </c>
      <c r="J307" s="16" t="n"/>
      <c r="K307" s="16" t="n"/>
      <c r="L307" s="13">
        <f>IF(C307="","",ROUND(G307-I307-J307-K307,2))</f>
        <v/>
      </c>
      <c r="M307" s="15" t="n"/>
      <c r="N307" s="15" t="n"/>
      <c r="O307" s="12">
        <f>IF(C307="","",IFERROR(VLOOKUP(C307,Inventory!$A$2:$B$501,2,FALSE),"Unknown lot"))</f>
        <v/>
      </c>
      <c r="P307" s="12">
        <f>IF(D307="","",IFERROR(VLOOKUP(D307,Clients!$A$2:$B$501,2,FALSE),"Unknown client"))</f>
        <v/>
      </c>
      <c r="Q307" s="12">
        <f>IF(C307="","",IF(COUNTIF(Inventory!$A$2:$A$501,C307)&lt;&gt;1,"Check lot ID",IF(OR(A307="",B307="",E307="",F307=""),"Complete required fields",IF(COUNTIF($B$2:$B$501,B307)&gt;1,"Duplicate sale ID",IF(AND(D307&lt;&gt;"",COUNTIF(Clients!$A$2:$A$501,D307)&lt;&gt;1),"Check client ID",IF(VLOOKUP(C307,Inventory!$A$2:$L$501,12,FALSE)&lt;0,"OVER SOLD","OK"))))))</f>
        <v/>
      </c>
    </row>
    <row r="308" ht="23" customHeight="1">
      <c r="A308" s="17" t="n"/>
      <c r="B308" s="9" t="n"/>
      <c r="C308" s="9" t="n"/>
      <c r="D308" s="9" t="n"/>
      <c r="E308" s="10" t="n"/>
      <c r="F308" s="11" t="n"/>
      <c r="G308" s="13">
        <f>IF(C308="","",ROUND(E308*F308,2))</f>
        <v/>
      </c>
      <c r="H308" s="13">
        <f>IF(C308="","",IFERROR(VLOOKUP(C308,Inventory!$A$2:$J$501,9,FALSE),0))</f>
        <v/>
      </c>
      <c r="I308" s="13">
        <f>IF(C308="","",ROUND(E308*H308,2))</f>
        <v/>
      </c>
      <c r="J308" s="11" t="n"/>
      <c r="K308" s="11" t="n"/>
      <c r="L308" s="13">
        <f>IF(C308="","",ROUND(G308-I308-J308-K308,2))</f>
        <v/>
      </c>
      <c r="M308" s="10" t="n"/>
      <c r="N308" s="10" t="n"/>
      <c r="O308" s="12">
        <f>IF(C308="","",IFERROR(VLOOKUP(C308,Inventory!$A$2:$B$501,2,FALSE),"Unknown lot"))</f>
        <v/>
      </c>
      <c r="P308" s="12">
        <f>IF(D308="","",IFERROR(VLOOKUP(D308,Clients!$A$2:$B$501,2,FALSE),"Unknown client"))</f>
        <v/>
      </c>
      <c r="Q308" s="12">
        <f>IF(C308="","",IF(COUNTIF(Inventory!$A$2:$A$501,C308)&lt;&gt;1,"Check lot ID",IF(OR(A308="",B308="",E308="",F308=""),"Complete required fields",IF(COUNTIF($B$2:$B$501,B308)&gt;1,"Duplicate sale ID",IF(AND(D308&lt;&gt;"",COUNTIF(Clients!$A$2:$A$501,D308)&lt;&gt;1),"Check client ID",IF(VLOOKUP(C308,Inventory!$A$2:$L$501,12,FALSE)&lt;0,"OVER SOLD","OK"))))))</f>
        <v/>
      </c>
    </row>
    <row r="309" ht="23" customHeight="1">
      <c r="A309" s="18" t="n"/>
      <c r="B309" s="14" t="n"/>
      <c r="C309" s="14" t="n"/>
      <c r="D309" s="14" t="n"/>
      <c r="E309" s="15" t="n"/>
      <c r="F309" s="16" t="n"/>
      <c r="G309" s="13">
        <f>IF(C309="","",ROUND(E309*F309,2))</f>
        <v/>
      </c>
      <c r="H309" s="13">
        <f>IF(C309="","",IFERROR(VLOOKUP(C309,Inventory!$A$2:$J$501,9,FALSE),0))</f>
        <v/>
      </c>
      <c r="I309" s="13">
        <f>IF(C309="","",ROUND(E309*H309,2))</f>
        <v/>
      </c>
      <c r="J309" s="16" t="n"/>
      <c r="K309" s="16" t="n"/>
      <c r="L309" s="13">
        <f>IF(C309="","",ROUND(G309-I309-J309-K309,2))</f>
        <v/>
      </c>
      <c r="M309" s="15" t="n"/>
      <c r="N309" s="15" t="n"/>
      <c r="O309" s="12">
        <f>IF(C309="","",IFERROR(VLOOKUP(C309,Inventory!$A$2:$B$501,2,FALSE),"Unknown lot"))</f>
        <v/>
      </c>
      <c r="P309" s="12">
        <f>IF(D309="","",IFERROR(VLOOKUP(D309,Clients!$A$2:$B$501,2,FALSE),"Unknown client"))</f>
        <v/>
      </c>
      <c r="Q309" s="12">
        <f>IF(C309="","",IF(COUNTIF(Inventory!$A$2:$A$501,C309)&lt;&gt;1,"Check lot ID",IF(OR(A309="",B309="",E309="",F309=""),"Complete required fields",IF(COUNTIF($B$2:$B$501,B309)&gt;1,"Duplicate sale ID",IF(AND(D309&lt;&gt;"",COUNTIF(Clients!$A$2:$A$501,D309)&lt;&gt;1),"Check client ID",IF(VLOOKUP(C309,Inventory!$A$2:$L$501,12,FALSE)&lt;0,"OVER SOLD","OK"))))))</f>
        <v/>
      </c>
    </row>
    <row r="310" ht="23" customHeight="1">
      <c r="A310" s="17" t="n"/>
      <c r="B310" s="9" t="n"/>
      <c r="C310" s="9" t="n"/>
      <c r="D310" s="9" t="n"/>
      <c r="E310" s="10" t="n"/>
      <c r="F310" s="11" t="n"/>
      <c r="G310" s="13">
        <f>IF(C310="","",ROUND(E310*F310,2))</f>
        <v/>
      </c>
      <c r="H310" s="13">
        <f>IF(C310="","",IFERROR(VLOOKUP(C310,Inventory!$A$2:$J$501,9,FALSE),0))</f>
        <v/>
      </c>
      <c r="I310" s="13">
        <f>IF(C310="","",ROUND(E310*H310,2))</f>
        <v/>
      </c>
      <c r="J310" s="11" t="n"/>
      <c r="K310" s="11" t="n"/>
      <c r="L310" s="13">
        <f>IF(C310="","",ROUND(G310-I310-J310-K310,2))</f>
        <v/>
      </c>
      <c r="M310" s="10" t="n"/>
      <c r="N310" s="10" t="n"/>
      <c r="O310" s="12">
        <f>IF(C310="","",IFERROR(VLOOKUP(C310,Inventory!$A$2:$B$501,2,FALSE),"Unknown lot"))</f>
        <v/>
      </c>
      <c r="P310" s="12">
        <f>IF(D310="","",IFERROR(VLOOKUP(D310,Clients!$A$2:$B$501,2,FALSE),"Unknown client"))</f>
        <v/>
      </c>
      <c r="Q310" s="12">
        <f>IF(C310="","",IF(COUNTIF(Inventory!$A$2:$A$501,C310)&lt;&gt;1,"Check lot ID",IF(OR(A310="",B310="",E310="",F310=""),"Complete required fields",IF(COUNTIF($B$2:$B$501,B310)&gt;1,"Duplicate sale ID",IF(AND(D310&lt;&gt;"",COUNTIF(Clients!$A$2:$A$501,D310)&lt;&gt;1),"Check client ID",IF(VLOOKUP(C310,Inventory!$A$2:$L$501,12,FALSE)&lt;0,"OVER SOLD","OK"))))))</f>
        <v/>
      </c>
    </row>
    <row r="311" ht="23" customHeight="1">
      <c r="A311" s="18" t="n"/>
      <c r="B311" s="14" t="n"/>
      <c r="C311" s="14" t="n"/>
      <c r="D311" s="14" t="n"/>
      <c r="E311" s="15" t="n"/>
      <c r="F311" s="16" t="n"/>
      <c r="G311" s="13">
        <f>IF(C311="","",ROUND(E311*F311,2))</f>
        <v/>
      </c>
      <c r="H311" s="13">
        <f>IF(C311="","",IFERROR(VLOOKUP(C311,Inventory!$A$2:$J$501,9,FALSE),0))</f>
        <v/>
      </c>
      <c r="I311" s="13">
        <f>IF(C311="","",ROUND(E311*H311,2))</f>
        <v/>
      </c>
      <c r="J311" s="16" t="n"/>
      <c r="K311" s="16" t="n"/>
      <c r="L311" s="13">
        <f>IF(C311="","",ROUND(G311-I311-J311-K311,2))</f>
        <v/>
      </c>
      <c r="M311" s="15" t="n"/>
      <c r="N311" s="15" t="n"/>
      <c r="O311" s="12">
        <f>IF(C311="","",IFERROR(VLOOKUP(C311,Inventory!$A$2:$B$501,2,FALSE),"Unknown lot"))</f>
        <v/>
      </c>
      <c r="P311" s="12">
        <f>IF(D311="","",IFERROR(VLOOKUP(D311,Clients!$A$2:$B$501,2,FALSE),"Unknown client"))</f>
        <v/>
      </c>
      <c r="Q311" s="12">
        <f>IF(C311="","",IF(COUNTIF(Inventory!$A$2:$A$501,C311)&lt;&gt;1,"Check lot ID",IF(OR(A311="",B311="",E311="",F311=""),"Complete required fields",IF(COUNTIF($B$2:$B$501,B311)&gt;1,"Duplicate sale ID",IF(AND(D311&lt;&gt;"",COUNTIF(Clients!$A$2:$A$501,D311)&lt;&gt;1),"Check client ID",IF(VLOOKUP(C311,Inventory!$A$2:$L$501,12,FALSE)&lt;0,"OVER SOLD","OK"))))))</f>
        <v/>
      </c>
    </row>
    <row r="312" ht="23" customHeight="1">
      <c r="A312" s="17" t="n"/>
      <c r="B312" s="9" t="n"/>
      <c r="C312" s="9" t="n"/>
      <c r="D312" s="9" t="n"/>
      <c r="E312" s="10" t="n"/>
      <c r="F312" s="11" t="n"/>
      <c r="G312" s="13">
        <f>IF(C312="","",ROUND(E312*F312,2))</f>
        <v/>
      </c>
      <c r="H312" s="13">
        <f>IF(C312="","",IFERROR(VLOOKUP(C312,Inventory!$A$2:$J$501,9,FALSE),0))</f>
        <v/>
      </c>
      <c r="I312" s="13">
        <f>IF(C312="","",ROUND(E312*H312,2))</f>
        <v/>
      </c>
      <c r="J312" s="11" t="n"/>
      <c r="K312" s="11" t="n"/>
      <c r="L312" s="13">
        <f>IF(C312="","",ROUND(G312-I312-J312-K312,2))</f>
        <v/>
      </c>
      <c r="M312" s="10" t="n"/>
      <c r="N312" s="10" t="n"/>
      <c r="O312" s="12">
        <f>IF(C312="","",IFERROR(VLOOKUP(C312,Inventory!$A$2:$B$501,2,FALSE),"Unknown lot"))</f>
        <v/>
      </c>
      <c r="P312" s="12">
        <f>IF(D312="","",IFERROR(VLOOKUP(D312,Clients!$A$2:$B$501,2,FALSE),"Unknown client"))</f>
        <v/>
      </c>
      <c r="Q312" s="12">
        <f>IF(C312="","",IF(COUNTIF(Inventory!$A$2:$A$501,C312)&lt;&gt;1,"Check lot ID",IF(OR(A312="",B312="",E312="",F312=""),"Complete required fields",IF(COUNTIF($B$2:$B$501,B312)&gt;1,"Duplicate sale ID",IF(AND(D312&lt;&gt;"",COUNTIF(Clients!$A$2:$A$501,D312)&lt;&gt;1),"Check client ID",IF(VLOOKUP(C312,Inventory!$A$2:$L$501,12,FALSE)&lt;0,"OVER SOLD","OK"))))))</f>
        <v/>
      </c>
    </row>
    <row r="313" ht="23" customHeight="1">
      <c r="A313" s="18" t="n"/>
      <c r="B313" s="14" t="n"/>
      <c r="C313" s="14" t="n"/>
      <c r="D313" s="14" t="n"/>
      <c r="E313" s="15" t="n"/>
      <c r="F313" s="16" t="n"/>
      <c r="G313" s="13">
        <f>IF(C313="","",ROUND(E313*F313,2))</f>
        <v/>
      </c>
      <c r="H313" s="13">
        <f>IF(C313="","",IFERROR(VLOOKUP(C313,Inventory!$A$2:$J$501,9,FALSE),0))</f>
        <v/>
      </c>
      <c r="I313" s="13">
        <f>IF(C313="","",ROUND(E313*H313,2))</f>
        <v/>
      </c>
      <c r="J313" s="16" t="n"/>
      <c r="K313" s="16" t="n"/>
      <c r="L313" s="13">
        <f>IF(C313="","",ROUND(G313-I313-J313-K313,2))</f>
        <v/>
      </c>
      <c r="M313" s="15" t="n"/>
      <c r="N313" s="15" t="n"/>
      <c r="O313" s="12">
        <f>IF(C313="","",IFERROR(VLOOKUP(C313,Inventory!$A$2:$B$501,2,FALSE),"Unknown lot"))</f>
        <v/>
      </c>
      <c r="P313" s="12">
        <f>IF(D313="","",IFERROR(VLOOKUP(D313,Clients!$A$2:$B$501,2,FALSE),"Unknown client"))</f>
        <v/>
      </c>
      <c r="Q313" s="12">
        <f>IF(C313="","",IF(COUNTIF(Inventory!$A$2:$A$501,C313)&lt;&gt;1,"Check lot ID",IF(OR(A313="",B313="",E313="",F313=""),"Complete required fields",IF(COUNTIF($B$2:$B$501,B313)&gt;1,"Duplicate sale ID",IF(AND(D313&lt;&gt;"",COUNTIF(Clients!$A$2:$A$501,D313)&lt;&gt;1),"Check client ID",IF(VLOOKUP(C313,Inventory!$A$2:$L$501,12,FALSE)&lt;0,"OVER SOLD","OK"))))))</f>
        <v/>
      </c>
    </row>
    <row r="314" ht="23" customHeight="1">
      <c r="A314" s="17" t="n"/>
      <c r="B314" s="9" t="n"/>
      <c r="C314" s="9" t="n"/>
      <c r="D314" s="9" t="n"/>
      <c r="E314" s="10" t="n"/>
      <c r="F314" s="11" t="n"/>
      <c r="G314" s="13">
        <f>IF(C314="","",ROUND(E314*F314,2))</f>
        <v/>
      </c>
      <c r="H314" s="13">
        <f>IF(C314="","",IFERROR(VLOOKUP(C314,Inventory!$A$2:$J$501,9,FALSE),0))</f>
        <v/>
      </c>
      <c r="I314" s="13">
        <f>IF(C314="","",ROUND(E314*H314,2))</f>
        <v/>
      </c>
      <c r="J314" s="11" t="n"/>
      <c r="K314" s="11" t="n"/>
      <c r="L314" s="13">
        <f>IF(C314="","",ROUND(G314-I314-J314-K314,2))</f>
        <v/>
      </c>
      <c r="M314" s="10" t="n"/>
      <c r="N314" s="10" t="n"/>
      <c r="O314" s="12">
        <f>IF(C314="","",IFERROR(VLOOKUP(C314,Inventory!$A$2:$B$501,2,FALSE),"Unknown lot"))</f>
        <v/>
      </c>
      <c r="P314" s="12">
        <f>IF(D314="","",IFERROR(VLOOKUP(D314,Clients!$A$2:$B$501,2,FALSE),"Unknown client"))</f>
        <v/>
      </c>
      <c r="Q314" s="12">
        <f>IF(C314="","",IF(COUNTIF(Inventory!$A$2:$A$501,C314)&lt;&gt;1,"Check lot ID",IF(OR(A314="",B314="",E314="",F314=""),"Complete required fields",IF(COUNTIF($B$2:$B$501,B314)&gt;1,"Duplicate sale ID",IF(AND(D314&lt;&gt;"",COUNTIF(Clients!$A$2:$A$501,D314)&lt;&gt;1),"Check client ID",IF(VLOOKUP(C314,Inventory!$A$2:$L$501,12,FALSE)&lt;0,"OVER SOLD","OK"))))))</f>
        <v/>
      </c>
    </row>
    <row r="315" ht="23" customHeight="1">
      <c r="A315" s="18" t="n"/>
      <c r="B315" s="14" t="n"/>
      <c r="C315" s="14" t="n"/>
      <c r="D315" s="14" t="n"/>
      <c r="E315" s="15" t="n"/>
      <c r="F315" s="16" t="n"/>
      <c r="G315" s="13">
        <f>IF(C315="","",ROUND(E315*F315,2))</f>
        <v/>
      </c>
      <c r="H315" s="13">
        <f>IF(C315="","",IFERROR(VLOOKUP(C315,Inventory!$A$2:$J$501,9,FALSE),0))</f>
        <v/>
      </c>
      <c r="I315" s="13">
        <f>IF(C315="","",ROUND(E315*H315,2))</f>
        <v/>
      </c>
      <c r="J315" s="16" t="n"/>
      <c r="K315" s="16" t="n"/>
      <c r="L315" s="13">
        <f>IF(C315="","",ROUND(G315-I315-J315-K315,2))</f>
        <v/>
      </c>
      <c r="M315" s="15" t="n"/>
      <c r="N315" s="15" t="n"/>
      <c r="O315" s="12">
        <f>IF(C315="","",IFERROR(VLOOKUP(C315,Inventory!$A$2:$B$501,2,FALSE),"Unknown lot"))</f>
        <v/>
      </c>
      <c r="P315" s="12">
        <f>IF(D315="","",IFERROR(VLOOKUP(D315,Clients!$A$2:$B$501,2,FALSE),"Unknown client"))</f>
        <v/>
      </c>
      <c r="Q315" s="12">
        <f>IF(C315="","",IF(COUNTIF(Inventory!$A$2:$A$501,C315)&lt;&gt;1,"Check lot ID",IF(OR(A315="",B315="",E315="",F315=""),"Complete required fields",IF(COUNTIF($B$2:$B$501,B315)&gt;1,"Duplicate sale ID",IF(AND(D315&lt;&gt;"",COUNTIF(Clients!$A$2:$A$501,D315)&lt;&gt;1),"Check client ID",IF(VLOOKUP(C315,Inventory!$A$2:$L$501,12,FALSE)&lt;0,"OVER SOLD","OK"))))))</f>
        <v/>
      </c>
    </row>
    <row r="316" ht="23" customHeight="1">
      <c r="A316" s="17" t="n"/>
      <c r="B316" s="9" t="n"/>
      <c r="C316" s="9" t="n"/>
      <c r="D316" s="9" t="n"/>
      <c r="E316" s="10" t="n"/>
      <c r="F316" s="11" t="n"/>
      <c r="G316" s="13">
        <f>IF(C316="","",ROUND(E316*F316,2))</f>
        <v/>
      </c>
      <c r="H316" s="13">
        <f>IF(C316="","",IFERROR(VLOOKUP(C316,Inventory!$A$2:$J$501,9,FALSE),0))</f>
        <v/>
      </c>
      <c r="I316" s="13">
        <f>IF(C316="","",ROUND(E316*H316,2))</f>
        <v/>
      </c>
      <c r="J316" s="11" t="n"/>
      <c r="K316" s="11" t="n"/>
      <c r="L316" s="13">
        <f>IF(C316="","",ROUND(G316-I316-J316-K316,2))</f>
        <v/>
      </c>
      <c r="M316" s="10" t="n"/>
      <c r="N316" s="10" t="n"/>
      <c r="O316" s="12">
        <f>IF(C316="","",IFERROR(VLOOKUP(C316,Inventory!$A$2:$B$501,2,FALSE),"Unknown lot"))</f>
        <v/>
      </c>
      <c r="P316" s="12">
        <f>IF(D316="","",IFERROR(VLOOKUP(D316,Clients!$A$2:$B$501,2,FALSE),"Unknown client"))</f>
        <v/>
      </c>
      <c r="Q316" s="12">
        <f>IF(C316="","",IF(COUNTIF(Inventory!$A$2:$A$501,C316)&lt;&gt;1,"Check lot ID",IF(OR(A316="",B316="",E316="",F316=""),"Complete required fields",IF(COUNTIF($B$2:$B$501,B316)&gt;1,"Duplicate sale ID",IF(AND(D316&lt;&gt;"",COUNTIF(Clients!$A$2:$A$501,D316)&lt;&gt;1),"Check client ID",IF(VLOOKUP(C316,Inventory!$A$2:$L$501,12,FALSE)&lt;0,"OVER SOLD","OK"))))))</f>
        <v/>
      </c>
    </row>
    <row r="317" ht="23" customHeight="1">
      <c r="A317" s="18" t="n"/>
      <c r="B317" s="14" t="n"/>
      <c r="C317" s="14" t="n"/>
      <c r="D317" s="14" t="n"/>
      <c r="E317" s="15" t="n"/>
      <c r="F317" s="16" t="n"/>
      <c r="G317" s="13">
        <f>IF(C317="","",ROUND(E317*F317,2))</f>
        <v/>
      </c>
      <c r="H317" s="13">
        <f>IF(C317="","",IFERROR(VLOOKUP(C317,Inventory!$A$2:$J$501,9,FALSE),0))</f>
        <v/>
      </c>
      <c r="I317" s="13">
        <f>IF(C317="","",ROUND(E317*H317,2))</f>
        <v/>
      </c>
      <c r="J317" s="16" t="n"/>
      <c r="K317" s="16" t="n"/>
      <c r="L317" s="13">
        <f>IF(C317="","",ROUND(G317-I317-J317-K317,2))</f>
        <v/>
      </c>
      <c r="M317" s="15" t="n"/>
      <c r="N317" s="15" t="n"/>
      <c r="O317" s="12">
        <f>IF(C317="","",IFERROR(VLOOKUP(C317,Inventory!$A$2:$B$501,2,FALSE),"Unknown lot"))</f>
        <v/>
      </c>
      <c r="P317" s="12">
        <f>IF(D317="","",IFERROR(VLOOKUP(D317,Clients!$A$2:$B$501,2,FALSE),"Unknown client"))</f>
        <v/>
      </c>
      <c r="Q317" s="12">
        <f>IF(C317="","",IF(COUNTIF(Inventory!$A$2:$A$501,C317)&lt;&gt;1,"Check lot ID",IF(OR(A317="",B317="",E317="",F317=""),"Complete required fields",IF(COUNTIF($B$2:$B$501,B317)&gt;1,"Duplicate sale ID",IF(AND(D317&lt;&gt;"",COUNTIF(Clients!$A$2:$A$501,D317)&lt;&gt;1),"Check client ID",IF(VLOOKUP(C317,Inventory!$A$2:$L$501,12,FALSE)&lt;0,"OVER SOLD","OK"))))))</f>
        <v/>
      </c>
    </row>
    <row r="318" ht="23" customHeight="1">
      <c r="A318" s="17" t="n"/>
      <c r="B318" s="9" t="n"/>
      <c r="C318" s="9" t="n"/>
      <c r="D318" s="9" t="n"/>
      <c r="E318" s="10" t="n"/>
      <c r="F318" s="11" t="n"/>
      <c r="G318" s="13">
        <f>IF(C318="","",ROUND(E318*F318,2))</f>
        <v/>
      </c>
      <c r="H318" s="13">
        <f>IF(C318="","",IFERROR(VLOOKUP(C318,Inventory!$A$2:$J$501,9,FALSE),0))</f>
        <v/>
      </c>
      <c r="I318" s="13">
        <f>IF(C318="","",ROUND(E318*H318,2))</f>
        <v/>
      </c>
      <c r="J318" s="11" t="n"/>
      <c r="K318" s="11" t="n"/>
      <c r="L318" s="13">
        <f>IF(C318="","",ROUND(G318-I318-J318-K318,2))</f>
        <v/>
      </c>
      <c r="M318" s="10" t="n"/>
      <c r="N318" s="10" t="n"/>
      <c r="O318" s="12">
        <f>IF(C318="","",IFERROR(VLOOKUP(C318,Inventory!$A$2:$B$501,2,FALSE),"Unknown lot"))</f>
        <v/>
      </c>
      <c r="P318" s="12">
        <f>IF(D318="","",IFERROR(VLOOKUP(D318,Clients!$A$2:$B$501,2,FALSE),"Unknown client"))</f>
        <v/>
      </c>
      <c r="Q318" s="12">
        <f>IF(C318="","",IF(COUNTIF(Inventory!$A$2:$A$501,C318)&lt;&gt;1,"Check lot ID",IF(OR(A318="",B318="",E318="",F318=""),"Complete required fields",IF(COUNTIF($B$2:$B$501,B318)&gt;1,"Duplicate sale ID",IF(AND(D318&lt;&gt;"",COUNTIF(Clients!$A$2:$A$501,D318)&lt;&gt;1),"Check client ID",IF(VLOOKUP(C318,Inventory!$A$2:$L$501,12,FALSE)&lt;0,"OVER SOLD","OK"))))))</f>
        <v/>
      </c>
    </row>
    <row r="319" ht="23" customHeight="1">
      <c r="A319" s="18" t="n"/>
      <c r="B319" s="14" t="n"/>
      <c r="C319" s="14" t="n"/>
      <c r="D319" s="14" t="n"/>
      <c r="E319" s="15" t="n"/>
      <c r="F319" s="16" t="n"/>
      <c r="G319" s="13">
        <f>IF(C319="","",ROUND(E319*F319,2))</f>
        <v/>
      </c>
      <c r="H319" s="13">
        <f>IF(C319="","",IFERROR(VLOOKUP(C319,Inventory!$A$2:$J$501,9,FALSE),0))</f>
        <v/>
      </c>
      <c r="I319" s="13">
        <f>IF(C319="","",ROUND(E319*H319,2))</f>
        <v/>
      </c>
      <c r="J319" s="16" t="n"/>
      <c r="K319" s="16" t="n"/>
      <c r="L319" s="13">
        <f>IF(C319="","",ROUND(G319-I319-J319-K319,2))</f>
        <v/>
      </c>
      <c r="M319" s="15" t="n"/>
      <c r="N319" s="15" t="n"/>
      <c r="O319" s="12">
        <f>IF(C319="","",IFERROR(VLOOKUP(C319,Inventory!$A$2:$B$501,2,FALSE),"Unknown lot"))</f>
        <v/>
      </c>
      <c r="P319" s="12">
        <f>IF(D319="","",IFERROR(VLOOKUP(D319,Clients!$A$2:$B$501,2,FALSE),"Unknown client"))</f>
        <v/>
      </c>
      <c r="Q319" s="12">
        <f>IF(C319="","",IF(COUNTIF(Inventory!$A$2:$A$501,C319)&lt;&gt;1,"Check lot ID",IF(OR(A319="",B319="",E319="",F319=""),"Complete required fields",IF(COUNTIF($B$2:$B$501,B319)&gt;1,"Duplicate sale ID",IF(AND(D319&lt;&gt;"",COUNTIF(Clients!$A$2:$A$501,D319)&lt;&gt;1),"Check client ID",IF(VLOOKUP(C319,Inventory!$A$2:$L$501,12,FALSE)&lt;0,"OVER SOLD","OK"))))))</f>
        <v/>
      </c>
    </row>
    <row r="320" ht="23" customHeight="1">
      <c r="A320" s="17" t="n"/>
      <c r="B320" s="9" t="n"/>
      <c r="C320" s="9" t="n"/>
      <c r="D320" s="9" t="n"/>
      <c r="E320" s="10" t="n"/>
      <c r="F320" s="11" t="n"/>
      <c r="G320" s="13">
        <f>IF(C320="","",ROUND(E320*F320,2))</f>
        <v/>
      </c>
      <c r="H320" s="13">
        <f>IF(C320="","",IFERROR(VLOOKUP(C320,Inventory!$A$2:$J$501,9,FALSE),0))</f>
        <v/>
      </c>
      <c r="I320" s="13">
        <f>IF(C320="","",ROUND(E320*H320,2))</f>
        <v/>
      </c>
      <c r="J320" s="11" t="n"/>
      <c r="K320" s="11" t="n"/>
      <c r="L320" s="13">
        <f>IF(C320="","",ROUND(G320-I320-J320-K320,2))</f>
        <v/>
      </c>
      <c r="M320" s="10" t="n"/>
      <c r="N320" s="10" t="n"/>
      <c r="O320" s="12">
        <f>IF(C320="","",IFERROR(VLOOKUP(C320,Inventory!$A$2:$B$501,2,FALSE),"Unknown lot"))</f>
        <v/>
      </c>
      <c r="P320" s="12">
        <f>IF(D320="","",IFERROR(VLOOKUP(D320,Clients!$A$2:$B$501,2,FALSE),"Unknown client"))</f>
        <v/>
      </c>
      <c r="Q320" s="12">
        <f>IF(C320="","",IF(COUNTIF(Inventory!$A$2:$A$501,C320)&lt;&gt;1,"Check lot ID",IF(OR(A320="",B320="",E320="",F320=""),"Complete required fields",IF(COUNTIF($B$2:$B$501,B320)&gt;1,"Duplicate sale ID",IF(AND(D320&lt;&gt;"",COUNTIF(Clients!$A$2:$A$501,D320)&lt;&gt;1),"Check client ID",IF(VLOOKUP(C320,Inventory!$A$2:$L$501,12,FALSE)&lt;0,"OVER SOLD","OK"))))))</f>
        <v/>
      </c>
    </row>
    <row r="321" ht="23" customHeight="1">
      <c r="A321" s="18" t="n"/>
      <c r="B321" s="14" t="n"/>
      <c r="C321" s="14" t="n"/>
      <c r="D321" s="14" t="n"/>
      <c r="E321" s="15" t="n"/>
      <c r="F321" s="16" t="n"/>
      <c r="G321" s="13">
        <f>IF(C321="","",ROUND(E321*F321,2))</f>
        <v/>
      </c>
      <c r="H321" s="13">
        <f>IF(C321="","",IFERROR(VLOOKUP(C321,Inventory!$A$2:$J$501,9,FALSE),0))</f>
        <v/>
      </c>
      <c r="I321" s="13">
        <f>IF(C321="","",ROUND(E321*H321,2))</f>
        <v/>
      </c>
      <c r="J321" s="16" t="n"/>
      <c r="K321" s="16" t="n"/>
      <c r="L321" s="13">
        <f>IF(C321="","",ROUND(G321-I321-J321-K321,2))</f>
        <v/>
      </c>
      <c r="M321" s="15" t="n"/>
      <c r="N321" s="15" t="n"/>
      <c r="O321" s="12">
        <f>IF(C321="","",IFERROR(VLOOKUP(C321,Inventory!$A$2:$B$501,2,FALSE),"Unknown lot"))</f>
        <v/>
      </c>
      <c r="P321" s="12">
        <f>IF(D321="","",IFERROR(VLOOKUP(D321,Clients!$A$2:$B$501,2,FALSE),"Unknown client"))</f>
        <v/>
      </c>
      <c r="Q321" s="12">
        <f>IF(C321="","",IF(COUNTIF(Inventory!$A$2:$A$501,C321)&lt;&gt;1,"Check lot ID",IF(OR(A321="",B321="",E321="",F321=""),"Complete required fields",IF(COUNTIF($B$2:$B$501,B321)&gt;1,"Duplicate sale ID",IF(AND(D321&lt;&gt;"",COUNTIF(Clients!$A$2:$A$501,D321)&lt;&gt;1),"Check client ID",IF(VLOOKUP(C321,Inventory!$A$2:$L$501,12,FALSE)&lt;0,"OVER SOLD","OK"))))))</f>
        <v/>
      </c>
    </row>
    <row r="322" ht="23" customHeight="1">
      <c r="A322" s="17" t="n"/>
      <c r="B322" s="9" t="n"/>
      <c r="C322" s="9" t="n"/>
      <c r="D322" s="9" t="n"/>
      <c r="E322" s="10" t="n"/>
      <c r="F322" s="11" t="n"/>
      <c r="G322" s="13">
        <f>IF(C322="","",ROUND(E322*F322,2))</f>
        <v/>
      </c>
      <c r="H322" s="13">
        <f>IF(C322="","",IFERROR(VLOOKUP(C322,Inventory!$A$2:$J$501,9,FALSE),0))</f>
        <v/>
      </c>
      <c r="I322" s="13">
        <f>IF(C322="","",ROUND(E322*H322,2))</f>
        <v/>
      </c>
      <c r="J322" s="11" t="n"/>
      <c r="K322" s="11" t="n"/>
      <c r="L322" s="13">
        <f>IF(C322="","",ROUND(G322-I322-J322-K322,2))</f>
        <v/>
      </c>
      <c r="M322" s="10" t="n"/>
      <c r="N322" s="10" t="n"/>
      <c r="O322" s="12">
        <f>IF(C322="","",IFERROR(VLOOKUP(C322,Inventory!$A$2:$B$501,2,FALSE),"Unknown lot"))</f>
        <v/>
      </c>
      <c r="P322" s="12">
        <f>IF(D322="","",IFERROR(VLOOKUP(D322,Clients!$A$2:$B$501,2,FALSE),"Unknown client"))</f>
        <v/>
      </c>
      <c r="Q322" s="12">
        <f>IF(C322="","",IF(COUNTIF(Inventory!$A$2:$A$501,C322)&lt;&gt;1,"Check lot ID",IF(OR(A322="",B322="",E322="",F322=""),"Complete required fields",IF(COUNTIF($B$2:$B$501,B322)&gt;1,"Duplicate sale ID",IF(AND(D322&lt;&gt;"",COUNTIF(Clients!$A$2:$A$501,D322)&lt;&gt;1),"Check client ID",IF(VLOOKUP(C322,Inventory!$A$2:$L$501,12,FALSE)&lt;0,"OVER SOLD","OK"))))))</f>
        <v/>
      </c>
    </row>
    <row r="323" ht="23" customHeight="1">
      <c r="A323" s="18" t="n"/>
      <c r="B323" s="14" t="n"/>
      <c r="C323" s="14" t="n"/>
      <c r="D323" s="14" t="n"/>
      <c r="E323" s="15" t="n"/>
      <c r="F323" s="16" t="n"/>
      <c r="G323" s="13">
        <f>IF(C323="","",ROUND(E323*F323,2))</f>
        <v/>
      </c>
      <c r="H323" s="13">
        <f>IF(C323="","",IFERROR(VLOOKUP(C323,Inventory!$A$2:$J$501,9,FALSE),0))</f>
        <v/>
      </c>
      <c r="I323" s="13">
        <f>IF(C323="","",ROUND(E323*H323,2))</f>
        <v/>
      </c>
      <c r="J323" s="16" t="n"/>
      <c r="K323" s="16" t="n"/>
      <c r="L323" s="13">
        <f>IF(C323="","",ROUND(G323-I323-J323-K323,2))</f>
        <v/>
      </c>
      <c r="M323" s="15" t="n"/>
      <c r="N323" s="15" t="n"/>
      <c r="O323" s="12">
        <f>IF(C323="","",IFERROR(VLOOKUP(C323,Inventory!$A$2:$B$501,2,FALSE),"Unknown lot"))</f>
        <v/>
      </c>
      <c r="P323" s="12">
        <f>IF(D323="","",IFERROR(VLOOKUP(D323,Clients!$A$2:$B$501,2,FALSE),"Unknown client"))</f>
        <v/>
      </c>
      <c r="Q323" s="12">
        <f>IF(C323="","",IF(COUNTIF(Inventory!$A$2:$A$501,C323)&lt;&gt;1,"Check lot ID",IF(OR(A323="",B323="",E323="",F323=""),"Complete required fields",IF(COUNTIF($B$2:$B$501,B323)&gt;1,"Duplicate sale ID",IF(AND(D323&lt;&gt;"",COUNTIF(Clients!$A$2:$A$501,D323)&lt;&gt;1),"Check client ID",IF(VLOOKUP(C323,Inventory!$A$2:$L$501,12,FALSE)&lt;0,"OVER SOLD","OK"))))))</f>
        <v/>
      </c>
    </row>
    <row r="324" ht="23" customHeight="1">
      <c r="A324" s="17" t="n"/>
      <c r="B324" s="9" t="n"/>
      <c r="C324" s="9" t="n"/>
      <c r="D324" s="9" t="n"/>
      <c r="E324" s="10" t="n"/>
      <c r="F324" s="11" t="n"/>
      <c r="G324" s="13">
        <f>IF(C324="","",ROUND(E324*F324,2))</f>
        <v/>
      </c>
      <c r="H324" s="13">
        <f>IF(C324="","",IFERROR(VLOOKUP(C324,Inventory!$A$2:$J$501,9,FALSE),0))</f>
        <v/>
      </c>
      <c r="I324" s="13">
        <f>IF(C324="","",ROUND(E324*H324,2))</f>
        <v/>
      </c>
      <c r="J324" s="11" t="n"/>
      <c r="K324" s="11" t="n"/>
      <c r="L324" s="13">
        <f>IF(C324="","",ROUND(G324-I324-J324-K324,2))</f>
        <v/>
      </c>
      <c r="M324" s="10" t="n"/>
      <c r="N324" s="10" t="n"/>
      <c r="O324" s="12">
        <f>IF(C324="","",IFERROR(VLOOKUP(C324,Inventory!$A$2:$B$501,2,FALSE),"Unknown lot"))</f>
        <v/>
      </c>
      <c r="P324" s="12">
        <f>IF(D324="","",IFERROR(VLOOKUP(D324,Clients!$A$2:$B$501,2,FALSE),"Unknown client"))</f>
        <v/>
      </c>
      <c r="Q324" s="12">
        <f>IF(C324="","",IF(COUNTIF(Inventory!$A$2:$A$501,C324)&lt;&gt;1,"Check lot ID",IF(OR(A324="",B324="",E324="",F324=""),"Complete required fields",IF(COUNTIF($B$2:$B$501,B324)&gt;1,"Duplicate sale ID",IF(AND(D324&lt;&gt;"",COUNTIF(Clients!$A$2:$A$501,D324)&lt;&gt;1),"Check client ID",IF(VLOOKUP(C324,Inventory!$A$2:$L$501,12,FALSE)&lt;0,"OVER SOLD","OK"))))))</f>
        <v/>
      </c>
    </row>
    <row r="325" ht="23" customHeight="1">
      <c r="A325" s="18" t="n"/>
      <c r="B325" s="14" t="n"/>
      <c r="C325" s="14" t="n"/>
      <c r="D325" s="14" t="n"/>
      <c r="E325" s="15" t="n"/>
      <c r="F325" s="16" t="n"/>
      <c r="G325" s="13">
        <f>IF(C325="","",ROUND(E325*F325,2))</f>
        <v/>
      </c>
      <c r="H325" s="13">
        <f>IF(C325="","",IFERROR(VLOOKUP(C325,Inventory!$A$2:$J$501,9,FALSE),0))</f>
        <v/>
      </c>
      <c r="I325" s="13">
        <f>IF(C325="","",ROUND(E325*H325,2))</f>
        <v/>
      </c>
      <c r="J325" s="16" t="n"/>
      <c r="K325" s="16" t="n"/>
      <c r="L325" s="13">
        <f>IF(C325="","",ROUND(G325-I325-J325-K325,2))</f>
        <v/>
      </c>
      <c r="M325" s="15" t="n"/>
      <c r="N325" s="15" t="n"/>
      <c r="O325" s="12">
        <f>IF(C325="","",IFERROR(VLOOKUP(C325,Inventory!$A$2:$B$501,2,FALSE),"Unknown lot"))</f>
        <v/>
      </c>
      <c r="P325" s="12">
        <f>IF(D325="","",IFERROR(VLOOKUP(D325,Clients!$A$2:$B$501,2,FALSE),"Unknown client"))</f>
        <v/>
      </c>
      <c r="Q325" s="12">
        <f>IF(C325="","",IF(COUNTIF(Inventory!$A$2:$A$501,C325)&lt;&gt;1,"Check lot ID",IF(OR(A325="",B325="",E325="",F325=""),"Complete required fields",IF(COUNTIF($B$2:$B$501,B325)&gt;1,"Duplicate sale ID",IF(AND(D325&lt;&gt;"",COUNTIF(Clients!$A$2:$A$501,D325)&lt;&gt;1),"Check client ID",IF(VLOOKUP(C325,Inventory!$A$2:$L$501,12,FALSE)&lt;0,"OVER SOLD","OK"))))))</f>
        <v/>
      </c>
    </row>
    <row r="326" ht="23" customHeight="1">
      <c r="A326" s="17" t="n"/>
      <c r="B326" s="9" t="n"/>
      <c r="C326" s="9" t="n"/>
      <c r="D326" s="9" t="n"/>
      <c r="E326" s="10" t="n"/>
      <c r="F326" s="11" t="n"/>
      <c r="G326" s="13">
        <f>IF(C326="","",ROUND(E326*F326,2))</f>
        <v/>
      </c>
      <c r="H326" s="13">
        <f>IF(C326="","",IFERROR(VLOOKUP(C326,Inventory!$A$2:$J$501,9,FALSE),0))</f>
        <v/>
      </c>
      <c r="I326" s="13">
        <f>IF(C326="","",ROUND(E326*H326,2))</f>
        <v/>
      </c>
      <c r="J326" s="11" t="n"/>
      <c r="K326" s="11" t="n"/>
      <c r="L326" s="13">
        <f>IF(C326="","",ROUND(G326-I326-J326-K326,2))</f>
        <v/>
      </c>
      <c r="M326" s="10" t="n"/>
      <c r="N326" s="10" t="n"/>
      <c r="O326" s="12">
        <f>IF(C326="","",IFERROR(VLOOKUP(C326,Inventory!$A$2:$B$501,2,FALSE),"Unknown lot"))</f>
        <v/>
      </c>
      <c r="P326" s="12">
        <f>IF(D326="","",IFERROR(VLOOKUP(D326,Clients!$A$2:$B$501,2,FALSE),"Unknown client"))</f>
        <v/>
      </c>
      <c r="Q326" s="12">
        <f>IF(C326="","",IF(COUNTIF(Inventory!$A$2:$A$501,C326)&lt;&gt;1,"Check lot ID",IF(OR(A326="",B326="",E326="",F326=""),"Complete required fields",IF(COUNTIF($B$2:$B$501,B326)&gt;1,"Duplicate sale ID",IF(AND(D326&lt;&gt;"",COUNTIF(Clients!$A$2:$A$501,D326)&lt;&gt;1),"Check client ID",IF(VLOOKUP(C326,Inventory!$A$2:$L$501,12,FALSE)&lt;0,"OVER SOLD","OK"))))))</f>
        <v/>
      </c>
    </row>
    <row r="327" ht="23" customHeight="1">
      <c r="A327" s="18" t="n"/>
      <c r="B327" s="14" t="n"/>
      <c r="C327" s="14" t="n"/>
      <c r="D327" s="14" t="n"/>
      <c r="E327" s="15" t="n"/>
      <c r="F327" s="16" t="n"/>
      <c r="G327" s="13">
        <f>IF(C327="","",ROUND(E327*F327,2))</f>
        <v/>
      </c>
      <c r="H327" s="13">
        <f>IF(C327="","",IFERROR(VLOOKUP(C327,Inventory!$A$2:$J$501,9,FALSE),0))</f>
        <v/>
      </c>
      <c r="I327" s="13">
        <f>IF(C327="","",ROUND(E327*H327,2))</f>
        <v/>
      </c>
      <c r="J327" s="16" t="n"/>
      <c r="K327" s="16" t="n"/>
      <c r="L327" s="13">
        <f>IF(C327="","",ROUND(G327-I327-J327-K327,2))</f>
        <v/>
      </c>
      <c r="M327" s="15" t="n"/>
      <c r="N327" s="15" t="n"/>
      <c r="O327" s="12">
        <f>IF(C327="","",IFERROR(VLOOKUP(C327,Inventory!$A$2:$B$501,2,FALSE),"Unknown lot"))</f>
        <v/>
      </c>
      <c r="P327" s="12">
        <f>IF(D327="","",IFERROR(VLOOKUP(D327,Clients!$A$2:$B$501,2,FALSE),"Unknown client"))</f>
        <v/>
      </c>
      <c r="Q327" s="12">
        <f>IF(C327="","",IF(COUNTIF(Inventory!$A$2:$A$501,C327)&lt;&gt;1,"Check lot ID",IF(OR(A327="",B327="",E327="",F327=""),"Complete required fields",IF(COUNTIF($B$2:$B$501,B327)&gt;1,"Duplicate sale ID",IF(AND(D327&lt;&gt;"",COUNTIF(Clients!$A$2:$A$501,D327)&lt;&gt;1),"Check client ID",IF(VLOOKUP(C327,Inventory!$A$2:$L$501,12,FALSE)&lt;0,"OVER SOLD","OK"))))))</f>
        <v/>
      </c>
    </row>
    <row r="328" ht="23" customHeight="1">
      <c r="A328" s="17" t="n"/>
      <c r="B328" s="9" t="n"/>
      <c r="C328" s="9" t="n"/>
      <c r="D328" s="9" t="n"/>
      <c r="E328" s="10" t="n"/>
      <c r="F328" s="11" t="n"/>
      <c r="G328" s="13">
        <f>IF(C328="","",ROUND(E328*F328,2))</f>
        <v/>
      </c>
      <c r="H328" s="13">
        <f>IF(C328="","",IFERROR(VLOOKUP(C328,Inventory!$A$2:$J$501,9,FALSE),0))</f>
        <v/>
      </c>
      <c r="I328" s="13">
        <f>IF(C328="","",ROUND(E328*H328,2))</f>
        <v/>
      </c>
      <c r="J328" s="11" t="n"/>
      <c r="K328" s="11" t="n"/>
      <c r="L328" s="13">
        <f>IF(C328="","",ROUND(G328-I328-J328-K328,2))</f>
        <v/>
      </c>
      <c r="M328" s="10" t="n"/>
      <c r="N328" s="10" t="n"/>
      <c r="O328" s="12">
        <f>IF(C328="","",IFERROR(VLOOKUP(C328,Inventory!$A$2:$B$501,2,FALSE),"Unknown lot"))</f>
        <v/>
      </c>
      <c r="P328" s="12">
        <f>IF(D328="","",IFERROR(VLOOKUP(D328,Clients!$A$2:$B$501,2,FALSE),"Unknown client"))</f>
        <v/>
      </c>
      <c r="Q328" s="12">
        <f>IF(C328="","",IF(COUNTIF(Inventory!$A$2:$A$501,C328)&lt;&gt;1,"Check lot ID",IF(OR(A328="",B328="",E328="",F328=""),"Complete required fields",IF(COUNTIF($B$2:$B$501,B328)&gt;1,"Duplicate sale ID",IF(AND(D328&lt;&gt;"",COUNTIF(Clients!$A$2:$A$501,D328)&lt;&gt;1),"Check client ID",IF(VLOOKUP(C328,Inventory!$A$2:$L$501,12,FALSE)&lt;0,"OVER SOLD","OK"))))))</f>
        <v/>
      </c>
    </row>
    <row r="329" ht="23" customHeight="1">
      <c r="A329" s="18" t="n"/>
      <c r="B329" s="14" t="n"/>
      <c r="C329" s="14" t="n"/>
      <c r="D329" s="14" t="n"/>
      <c r="E329" s="15" t="n"/>
      <c r="F329" s="16" t="n"/>
      <c r="G329" s="13">
        <f>IF(C329="","",ROUND(E329*F329,2))</f>
        <v/>
      </c>
      <c r="H329" s="13">
        <f>IF(C329="","",IFERROR(VLOOKUP(C329,Inventory!$A$2:$J$501,9,FALSE),0))</f>
        <v/>
      </c>
      <c r="I329" s="13">
        <f>IF(C329="","",ROUND(E329*H329,2))</f>
        <v/>
      </c>
      <c r="J329" s="16" t="n"/>
      <c r="K329" s="16" t="n"/>
      <c r="L329" s="13">
        <f>IF(C329="","",ROUND(G329-I329-J329-K329,2))</f>
        <v/>
      </c>
      <c r="M329" s="15" t="n"/>
      <c r="N329" s="15" t="n"/>
      <c r="O329" s="12">
        <f>IF(C329="","",IFERROR(VLOOKUP(C329,Inventory!$A$2:$B$501,2,FALSE),"Unknown lot"))</f>
        <v/>
      </c>
      <c r="P329" s="12">
        <f>IF(D329="","",IFERROR(VLOOKUP(D329,Clients!$A$2:$B$501,2,FALSE),"Unknown client"))</f>
        <v/>
      </c>
      <c r="Q329" s="12">
        <f>IF(C329="","",IF(COUNTIF(Inventory!$A$2:$A$501,C329)&lt;&gt;1,"Check lot ID",IF(OR(A329="",B329="",E329="",F329=""),"Complete required fields",IF(COUNTIF($B$2:$B$501,B329)&gt;1,"Duplicate sale ID",IF(AND(D329&lt;&gt;"",COUNTIF(Clients!$A$2:$A$501,D329)&lt;&gt;1),"Check client ID",IF(VLOOKUP(C329,Inventory!$A$2:$L$501,12,FALSE)&lt;0,"OVER SOLD","OK"))))))</f>
        <v/>
      </c>
    </row>
    <row r="330" ht="23" customHeight="1">
      <c r="A330" s="17" t="n"/>
      <c r="B330" s="9" t="n"/>
      <c r="C330" s="9" t="n"/>
      <c r="D330" s="9" t="n"/>
      <c r="E330" s="10" t="n"/>
      <c r="F330" s="11" t="n"/>
      <c r="G330" s="13">
        <f>IF(C330="","",ROUND(E330*F330,2))</f>
        <v/>
      </c>
      <c r="H330" s="13">
        <f>IF(C330="","",IFERROR(VLOOKUP(C330,Inventory!$A$2:$J$501,9,FALSE),0))</f>
        <v/>
      </c>
      <c r="I330" s="13">
        <f>IF(C330="","",ROUND(E330*H330,2))</f>
        <v/>
      </c>
      <c r="J330" s="11" t="n"/>
      <c r="K330" s="11" t="n"/>
      <c r="L330" s="13">
        <f>IF(C330="","",ROUND(G330-I330-J330-K330,2))</f>
        <v/>
      </c>
      <c r="M330" s="10" t="n"/>
      <c r="N330" s="10" t="n"/>
      <c r="O330" s="12">
        <f>IF(C330="","",IFERROR(VLOOKUP(C330,Inventory!$A$2:$B$501,2,FALSE),"Unknown lot"))</f>
        <v/>
      </c>
      <c r="P330" s="12">
        <f>IF(D330="","",IFERROR(VLOOKUP(D330,Clients!$A$2:$B$501,2,FALSE),"Unknown client"))</f>
        <v/>
      </c>
      <c r="Q330" s="12">
        <f>IF(C330="","",IF(COUNTIF(Inventory!$A$2:$A$501,C330)&lt;&gt;1,"Check lot ID",IF(OR(A330="",B330="",E330="",F330=""),"Complete required fields",IF(COUNTIF($B$2:$B$501,B330)&gt;1,"Duplicate sale ID",IF(AND(D330&lt;&gt;"",COUNTIF(Clients!$A$2:$A$501,D330)&lt;&gt;1),"Check client ID",IF(VLOOKUP(C330,Inventory!$A$2:$L$501,12,FALSE)&lt;0,"OVER SOLD","OK"))))))</f>
        <v/>
      </c>
    </row>
    <row r="331" ht="23" customHeight="1">
      <c r="A331" s="18" t="n"/>
      <c r="B331" s="14" t="n"/>
      <c r="C331" s="14" t="n"/>
      <c r="D331" s="14" t="n"/>
      <c r="E331" s="15" t="n"/>
      <c r="F331" s="16" t="n"/>
      <c r="G331" s="13">
        <f>IF(C331="","",ROUND(E331*F331,2))</f>
        <v/>
      </c>
      <c r="H331" s="13">
        <f>IF(C331="","",IFERROR(VLOOKUP(C331,Inventory!$A$2:$J$501,9,FALSE),0))</f>
        <v/>
      </c>
      <c r="I331" s="13">
        <f>IF(C331="","",ROUND(E331*H331,2))</f>
        <v/>
      </c>
      <c r="J331" s="16" t="n"/>
      <c r="K331" s="16" t="n"/>
      <c r="L331" s="13">
        <f>IF(C331="","",ROUND(G331-I331-J331-K331,2))</f>
        <v/>
      </c>
      <c r="M331" s="15" t="n"/>
      <c r="N331" s="15" t="n"/>
      <c r="O331" s="12">
        <f>IF(C331="","",IFERROR(VLOOKUP(C331,Inventory!$A$2:$B$501,2,FALSE),"Unknown lot"))</f>
        <v/>
      </c>
      <c r="P331" s="12">
        <f>IF(D331="","",IFERROR(VLOOKUP(D331,Clients!$A$2:$B$501,2,FALSE),"Unknown client"))</f>
        <v/>
      </c>
      <c r="Q331" s="12">
        <f>IF(C331="","",IF(COUNTIF(Inventory!$A$2:$A$501,C331)&lt;&gt;1,"Check lot ID",IF(OR(A331="",B331="",E331="",F331=""),"Complete required fields",IF(COUNTIF($B$2:$B$501,B331)&gt;1,"Duplicate sale ID",IF(AND(D331&lt;&gt;"",COUNTIF(Clients!$A$2:$A$501,D331)&lt;&gt;1),"Check client ID",IF(VLOOKUP(C331,Inventory!$A$2:$L$501,12,FALSE)&lt;0,"OVER SOLD","OK"))))))</f>
        <v/>
      </c>
    </row>
    <row r="332" ht="23" customHeight="1">
      <c r="A332" s="17" t="n"/>
      <c r="B332" s="9" t="n"/>
      <c r="C332" s="9" t="n"/>
      <c r="D332" s="9" t="n"/>
      <c r="E332" s="10" t="n"/>
      <c r="F332" s="11" t="n"/>
      <c r="G332" s="13">
        <f>IF(C332="","",ROUND(E332*F332,2))</f>
        <v/>
      </c>
      <c r="H332" s="13">
        <f>IF(C332="","",IFERROR(VLOOKUP(C332,Inventory!$A$2:$J$501,9,FALSE),0))</f>
        <v/>
      </c>
      <c r="I332" s="13">
        <f>IF(C332="","",ROUND(E332*H332,2))</f>
        <v/>
      </c>
      <c r="J332" s="11" t="n"/>
      <c r="K332" s="11" t="n"/>
      <c r="L332" s="13">
        <f>IF(C332="","",ROUND(G332-I332-J332-K332,2))</f>
        <v/>
      </c>
      <c r="M332" s="10" t="n"/>
      <c r="N332" s="10" t="n"/>
      <c r="O332" s="12">
        <f>IF(C332="","",IFERROR(VLOOKUP(C332,Inventory!$A$2:$B$501,2,FALSE),"Unknown lot"))</f>
        <v/>
      </c>
      <c r="P332" s="12">
        <f>IF(D332="","",IFERROR(VLOOKUP(D332,Clients!$A$2:$B$501,2,FALSE),"Unknown client"))</f>
        <v/>
      </c>
      <c r="Q332" s="12">
        <f>IF(C332="","",IF(COUNTIF(Inventory!$A$2:$A$501,C332)&lt;&gt;1,"Check lot ID",IF(OR(A332="",B332="",E332="",F332=""),"Complete required fields",IF(COUNTIF($B$2:$B$501,B332)&gt;1,"Duplicate sale ID",IF(AND(D332&lt;&gt;"",COUNTIF(Clients!$A$2:$A$501,D332)&lt;&gt;1),"Check client ID",IF(VLOOKUP(C332,Inventory!$A$2:$L$501,12,FALSE)&lt;0,"OVER SOLD","OK"))))))</f>
        <v/>
      </c>
    </row>
    <row r="333" ht="23" customHeight="1">
      <c r="A333" s="18" t="n"/>
      <c r="B333" s="14" t="n"/>
      <c r="C333" s="14" t="n"/>
      <c r="D333" s="14" t="n"/>
      <c r="E333" s="15" t="n"/>
      <c r="F333" s="16" t="n"/>
      <c r="G333" s="13">
        <f>IF(C333="","",ROUND(E333*F333,2))</f>
        <v/>
      </c>
      <c r="H333" s="13">
        <f>IF(C333="","",IFERROR(VLOOKUP(C333,Inventory!$A$2:$J$501,9,FALSE),0))</f>
        <v/>
      </c>
      <c r="I333" s="13">
        <f>IF(C333="","",ROUND(E333*H333,2))</f>
        <v/>
      </c>
      <c r="J333" s="16" t="n"/>
      <c r="K333" s="16" t="n"/>
      <c r="L333" s="13">
        <f>IF(C333="","",ROUND(G333-I333-J333-K333,2))</f>
        <v/>
      </c>
      <c r="M333" s="15" t="n"/>
      <c r="N333" s="15" t="n"/>
      <c r="O333" s="12">
        <f>IF(C333="","",IFERROR(VLOOKUP(C333,Inventory!$A$2:$B$501,2,FALSE),"Unknown lot"))</f>
        <v/>
      </c>
      <c r="P333" s="12">
        <f>IF(D333="","",IFERROR(VLOOKUP(D333,Clients!$A$2:$B$501,2,FALSE),"Unknown client"))</f>
        <v/>
      </c>
      <c r="Q333" s="12">
        <f>IF(C333="","",IF(COUNTIF(Inventory!$A$2:$A$501,C333)&lt;&gt;1,"Check lot ID",IF(OR(A333="",B333="",E333="",F333=""),"Complete required fields",IF(COUNTIF($B$2:$B$501,B333)&gt;1,"Duplicate sale ID",IF(AND(D333&lt;&gt;"",COUNTIF(Clients!$A$2:$A$501,D333)&lt;&gt;1),"Check client ID",IF(VLOOKUP(C333,Inventory!$A$2:$L$501,12,FALSE)&lt;0,"OVER SOLD","OK"))))))</f>
        <v/>
      </c>
    </row>
    <row r="334" ht="23" customHeight="1">
      <c r="A334" s="17" t="n"/>
      <c r="B334" s="9" t="n"/>
      <c r="C334" s="9" t="n"/>
      <c r="D334" s="9" t="n"/>
      <c r="E334" s="10" t="n"/>
      <c r="F334" s="11" t="n"/>
      <c r="G334" s="13">
        <f>IF(C334="","",ROUND(E334*F334,2))</f>
        <v/>
      </c>
      <c r="H334" s="13">
        <f>IF(C334="","",IFERROR(VLOOKUP(C334,Inventory!$A$2:$J$501,9,FALSE),0))</f>
        <v/>
      </c>
      <c r="I334" s="13">
        <f>IF(C334="","",ROUND(E334*H334,2))</f>
        <v/>
      </c>
      <c r="J334" s="11" t="n"/>
      <c r="K334" s="11" t="n"/>
      <c r="L334" s="13">
        <f>IF(C334="","",ROUND(G334-I334-J334-K334,2))</f>
        <v/>
      </c>
      <c r="M334" s="10" t="n"/>
      <c r="N334" s="10" t="n"/>
      <c r="O334" s="12">
        <f>IF(C334="","",IFERROR(VLOOKUP(C334,Inventory!$A$2:$B$501,2,FALSE),"Unknown lot"))</f>
        <v/>
      </c>
      <c r="P334" s="12">
        <f>IF(D334="","",IFERROR(VLOOKUP(D334,Clients!$A$2:$B$501,2,FALSE),"Unknown client"))</f>
        <v/>
      </c>
      <c r="Q334" s="12">
        <f>IF(C334="","",IF(COUNTIF(Inventory!$A$2:$A$501,C334)&lt;&gt;1,"Check lot ID",IF(OR(A334="",B334="",E334="",F334=""),"Complete required fields",IF(COUNTIF($B$2:$B$501,B334)&gt;1,"Duplicate sale ID",IF(AND(D334&lt;&gt;"",COUNTIF(Clients!$A$2:$A$501,D334)&lt;&gt;1),"Check client ID",IF(VLOOKUP(C334,Inventory!$A$2:$L$501,12,FALSE)&lt;0,"OVER SOLD","OK"))))))</f>
        <v/>
      </c>
    </row>
    <row r="335" ht="23" customHeight="1">
      <c r="A335" s="18" t="n"/>
      <c r="B335" s="14" t="n"/>
      <c r="C335" s="14" t="n"/>
      <c r="D335" s="14" t="n"/>
      <c r="E335" s="15" t="n"/>
      <c r="F335" s="16" t="n"/>
      <c r="G335" s="13">
        <f>IF(C335="","",ROUND(E335*F335,2))</f>
        <v/>
      </c>
      <c r="H335" s="13">
        <f>IF(C335="","",IFERROR(VLOOKUP(C335,Inventory!$A$2:$J$501,9,FALSE),0))</f>
        <v/>
      </c>
      <c r="I335" s="13">
        <f>IF(C335="","",ROUND(E335*H335,2))</f>
        <v/>
      </c>
      <c r="J335" s="16" t="n"/>
      <c r="K335" s="16" t="n"/>
      <c r="L335" s="13">
        <f>IF(C335="","",ROUND(G335-I335-J335-K335,2))</f>
        <v/>
      </c>
      <c r="M335" s="15" t="n"/>
      <c r="N335" s="15" t="n"/>
      <c r="O335" s="12">
        <f>IF(C335="","",IFERROR(VLOOKUP(C335,Inventory!$A$2:$B$501,2,FALSE),"Unknown lot"))</f>
        <v/>
      </c>
      <c r="P335" s="12">
        <f>IF(D335="","",IFERROR(VLOOKUP(D335,Clients!$A$2:$B$501,2,FALSE),"Unknown client"))</f>
        <v/>
      </c>
      <c r="Q335" s="12">
        <f>IF(C335="","",IF(COUNTIF(Inventory!$A$2:$A$501,C335)&lt;&gt;1,"Check lot ID",IF(OR(A335="",B335="",E335="",F335=""),"Complete required fields",IF(COUNTIF($B$2:$B$501,B335)&gt;1,"Duplicate sale ID",IF(AND(D335&lt;&gt;"",COUNTIF(Clients!$A$2:$A$501,D335)&lt;&gt;1),"Check client ID",IF(VLOOKUP(C335,Inventory!$A$2:$L$501,12,FALSE)&lt;0,"OVER SOLD","OK"))))))</f>
        <v/>
      </c>
    </row>
    <row r="336" ht="23" customHeight="1">
      <c r="A336" s="17" t="n"/>
      <c r="B336" s="9" t="n"/>
      <c r="C336" s="9" t="n"/>
      <c r="D336" s="9" t="n"/>
      <c r="E336" s="10" t="n"/>
      <c r="F336" s="11" t="n"/>
      <c r="G336" s="13">
        <f>IF(C336="","",ROUND(E336*F336,2))</f>
        <v/>
      </c>
      <c r="H336" s="13">
        <f>IF(C336="","",IFERROR(VLOOKUP(C336,Inventory!$A$2:$J$501,9,FALSE),0))</f>
        <v/>
      </c>
      <c r="I336" s="13">
        <f>IF(C336="","",ROUND(E336*H336,2))</f>
        <v/>
      </c>
      <c r="J336" s="11" t="n"/>
      <c r="K336" s="11" t="n"/>
      <c r="L336" s="13">
        <f>IF(C336="","",ROUND(G336-I336-J336-K336,2))</f>
        <v/>
      </c>
      <c r="M336" s="10" t="n"/>
      <c r="N336" s="10" t="n"/>
      <c r="O336" s="12">
        <f>IF(C336="","",IFERROR(VLOOKUP(C336,Inventory!$A$2:$B$501,2,FALSE),"Unknown lot"))</f>
        <v/>
      </c>
      <c r="P336" s="12">
        <f>IF(D336="","",IFERROR(VLOOKUP(D336,Clients!$A$2:$B$501,2,FALSE),"Unknown client"))</f>
        <v/>
      </c>
      <c r="Q336" s="12">
        <f>IF(C336="","",IF(COUNTIF(Inventory!$A$2:$A$501,C336)&lt;&gt;1,"Check lot ID",IF(OR(A336="",B336="",E336="",F336=""),"Complete required fields",IF(COUNTIF($B$2:$B$501,B336)&gt;1,"Duplicate sale ID",IF(AND(D336&lt;&gt;"",COUNTIF(Clients!$A$2:$A$501,D336)&lt;&gt;1),"Check client ID",IF(VLOOKUP(C336,Inventory!$A$2:$L$501,12,FALSE)&lt;0,"OVER SOLD","OK"))))))</f>
        <v/>
      </c>
    </row>
    <row r="337" ht="23" customHeight="1">
      <c r="A337" s="18" t="n"/>
      <c r="B337" s="14" t="n"/>
      <c r="C337" s="14" t="n"/>
      <c r="D337" s="14" t="n"/>
      <c r="E337" s="15" t="n"/>
      <c r="F337" s="16" t="n"/>
      <c r="G337" s="13">
        <f>IF(C337="","",ROUND(E337*F337,2))</f>
        <v/>
      </c>
      <c r="H337" s="13">
        <f>IF(C337="","",IFERROR(VLOOKUP(C337,Inventory!$A$2:$J$501,9,FALSE),0))</f>
        <v/>
      </c>
      <c r="I337" s="13">
        <f>IF(C337="","",ROUND(E337*H337,2))</f>
        <v/>
      </c>
      <c r="J337" s="16" t="n"/>
      <c r="K337" s="16" t="n"/>
      <c r="L337" s="13">
        <f>IF(C337="","",ROUND(G337-I337-J337-K337,2))</f>
        <v/>
      </c>
      <c r="M337" s="15" t="n"/>
      <c r="N337" s="15" t="n"/>
      <c r="O337" s="12">
        <f>IF(C337="","",IFERROR(VLOOKUP(C337,Inventory!$A$2:$B$501,2,FALSE),"Unknown lot"))</f>
        <v/>
      </c>
      <c r="P337" s="12">
        <f>IF(D337="","",IFERROR(VLOOKUP(D337,Clients!$A$2:$B$501,2,FALSE),"Unknown client"))</f>
        <v/>
      </c>
      <c r="Q337" s="12">
        <f>IF(C337="","",IF(COUNTIF(Inventory!$A$2:$A$501,C337)&lt;&gt;1,"Check lot ID",IF(OR(A337="",B337="",E337="",F337=""),"Complete required fields",IF(COUNTIF($B$2:$B$501,B337)&gt;1,"Duplicate sale ID",IF(AND(D337&lt;&gt;"",COUNTIF(Clients!$A$2:$A$501,D337)&lt;&gt;1),"Check client ID",IF(VLOOKUP(C337,Inventory!$A$2:$L$501,12,FALSE)&lt;0,"OVER SOLD","OK"))))))</f>
        <v/>
      </c>
    </row>
    <row r="338" ht="23" customHeight="1">
      <c r="A338" s="17" t="n"/>
      <c r="B338" s="9" t="n"/>
      <c r="C338" s="9" t="n"/>
      <c r="D338" s="9" t="n"/>
      <c r="E338" s="10" t="n"/>
      <c r="F338" s="11" t="n"/>
      <c r="G338" s="13">
        <f>IF(C338="","",ROUND(E338*F338,2))</f>
        <v/>
      </c>
      <c r="H338" s="13">
        <f>IF(C338="","",IFERROR(VLOOKUP(C338,Inventory!$A$2:$J$501,9,FALSE),0))</f>
        <v/>
      </c>
      <c r="I338" s="13">
        <f>IF(C338="","",ROUND(E338*H338,2))</f>
        <v/>
      </c>
      <c r="J338" s="11" t="n"/>
      <c r="K338" s="11" t="n"/>
      <c r="L338" s="13">
        <f>IF(C338="","",ROUND(G338-I338-J338-K338,2))</f>
        <v/>
      </c>
      <c r="M338" s="10" t="n"/>
      <c r="N338" s="10" t="n"/>
      <c r="O338" s="12">
        <f>IF(C338="","",IFERROR(VLOOKUP(C338,Inventory!$A$2:$B$501,2,FALSE),"Unknown lot"))</f>
        <v/>
      </c>
      <c r="P338" s="12">
        <f>IF(D338="","",IFERROR(VLOOKUP(D338,Clients!$A$2:$B$501,2,FALSE),"Unknown client"))</f>
        <v/>
      </c>
      <c r="Q338" s="12">
        <f>IF(C338="","",IF(COUNTIF(Inventory!$A$2:$A$501,C338)&lt;&gt;1,"Check lot ID",IF(OR(A338="",B338="",E338="",F338=""),"Complete required fields",IF(COUNTIF($B$2:$B$501,B338)&gt;1,"Duplicate sale ID",IF(AND(D338&lt;&gt;"",COUNTIF(Clients!$A$2:$A$501,D338)&lt;&gt;1),"Check client ID",IF(VLOOKUP(C338,Inventory!$A$2:$L$501,12,FALSE)&lt;0,"OVER SOLD","OK"))))))</f>
        <v/>
      </c>
    </row>
    <row r="339" ht="23" customHeight="1">
      <c r="A339" s="18" t="n"/>
      <c r="B339" s="14" t="n"/>
      <c r="C339" s="14" t="n"/>
      <c r="D339" s="14" t="n"/>
      <c r="E339" s="15" t="n"/>
      <c r="F339" s="16" t="n"/>
      <c r="G339" s="13">
        <f>IF(C339="","",ROUND(E339*F339,2))</f>
        <v/>
      </c>
      <c r="H339" s="13">
        <f>IF(C339="","",IFERROR(VLOOKUP(C339,Inventory!$A$2:$J$501,9,FALSE),0))</f>
        <v/>
      </c>
      <c r="I339" s="13">
        <f>IF(C339="","",ROUND(E339*H339,2))</f>
        <v/>
      </c>
      <c r="J339" s="16" t="n"/>
      <c r="K339" s="16" t="n"/>
      <c r="L339" s="13">
        <f>IF(C339="","",ROUND(G339-I339-J339-K339,2))</f>
        <v/>
      </c>
      <c r="M339" s="15" t="n"/>
      <c r="N339" s="15" t="n"/>
      <c r="O339" s="12">
        <f>IF(C339="","",IFERROR(VLOOKUP(C339,Inventory!$A$2:$B$501,2,FALSE),"Unknown lot"))</f>
        <v/>
      </c>
      <c r="P339" s="12">
        <f>IF(D339="","",IFERROR(VLOOKUP(D339,Clients!$A$2:$B$501,2,FALSE),"Unknown client"))</f>
        <v/>
      </c>
      <c r="Q339" s="12">
        <f>IF(C339="","",IF(COUNTIF(Inventory!$A$2:$A$501,C339)&lt;&gt;1,"Check lot ID",IF(OR(A339="",B339="",E339="",F339=""),"Complete required fields",IF(COUNTIF($B$2:$B$501,B339)&gt;1,"Duplicate sale ID",IF(AND(D339&lt;&gt;"",COUNTIF(Clients!$A$2:$A$501,D339)&lt;&gt;1),"Check client ID",IF(VLOOKUP(C339,Inventory!$A$2:$L$501,12,FALSE)&lt;0,"OVER SOLD","OK"))))))</f>
        <v/>
      </c>
    </row>
    <row r="340" ht="23" customHeight="1">
      <c r="A340" s="17" t="n"/>
      <c r="B340" s="9" t="n"/>
      <c r="C340" s="9" t="n"/>
      <c r="D340" s="9" t="n"/>
      <c r="E340" s="10" t="n"/>
      <c r="F340" s="11" t="n"/>
      <c r="G340" s="13">
        <f>IF(C340="","",ROUND(E340*F340,2))</f>
        <v/>
      </c>
      <c r="H340" s="13">
        <f>IF(C340="","",IFERROR(VLOOKUP(C340,Inventory!$A$2:$J$501,9,FALSE),0))</f>
        <v/>
      </c>
      <c r="I340" s="13">
        <f>IF(C340="","",ROUND(E340*H340,2))</f>
        <v/>
      </c>
      <c r="J340" s="11" t="n"/>
      <c r="K340" s="11" t="n"/>
      <c r="L340" s="13">
        <f>IF(C340="","",ROUND(G340-I340-J340-K340,2))</f>
        <v/>
      </c>
      <c r="M340" s="10" t="n"/>
      <c r="N340" s="10" t="n"/>
      <c r="O340" s="12">
        <f>IF(C340="","",IFERROR(VLOOKUP(C340,Inventory!$A$2:$B$501,2,FALSE),"Unknown lot"))</f>
        <v/>
      </c>
      <c r="P340" s="12">
        <f>IF(D340="","",IFERROR(VLOOKUP(D340,Clients!$A$2:$B$501,2,FALSE),"Unknown client"))</f>
        <v/>
      </c>
      <c r="Q340" s="12">
        <f>IF(C340="","",IF(COUNTIF(Inventory!$A$2:$A$501,C340)&lt;&gt;1,"Check lot ID",IF(OR(A340="",B340="",E340="",F340=""),"Complete required fields",IF(COUNTIF($B$2:$B$501,B340)&gt;1,"Duplicate sale ID",IF(AND(D340&lt;&gt;"",COUNTIF(Clients!$A$2:$A$501,D340)&lt;&gt;1),"Check client ID",IF(VLOOKUP(C340,Inventory!$A$2:$L$501,12,FALSE)&lt;0,"OVER SOLD","OK"))))))</f>
        <v/>
      </c>
    </row>
    <row r="341" ht="23" customHeight="1">
      <c r="A341" s="18" t="n"/>
      <c r="B341" s="14" t="n"/>
      <c r="C341" s="14" t="n"/>
      <c r="D341" s="14" t="n"/>
      <c r="E341" s="15" t="n"/>
      <c r="F341" s="16" t="n"/>
      <c r="G341" s="13">
        <f>IF(C341="","",ROUND(E341*F341,2))</f>
        <v/>
      </c>
      <c r="H341" s="13">
        <f>IF(C341="","",IFERROR(VLOOKUP(C341,Inventory!$A$2:$J$501,9,FALSE),0))</f>
        <v/>
      </c>
      <c r="I341" s="13">
        <f>IF(C341="","",ROUND(E341*H341,2))</f>
        <v/>
      </c>
      <c r="J341" s="16" t="n"/>
      <c r="K341" s="16" t="n"/>
      <c r="L341" s="13">
        <f>IF(C341="","",ROUND(G341-I341-J341-K341,2))</f>
        <v/>
      </c>
      <c r="M341" s="15" t="n"/>
      <c r="N341" s="15" t="n"/>
      <c r="O341" s="12">
        <f>IF(C341="","",IFERROR(VLOOKUP(C341,Inventory!$A$2:$B$501,2,FALSE),"Unknown lot"))</f>
        <v/>
      </c>
      <c r="P341" s="12">
        <f>IF(D341="","",IFERROR(VLOOKUP(D341,Clients!$A$2:$B$501,2,FALSE),"Unknown client"))</f>
        <v/>
      </c>
      <c r="Q341" s="12">
        <f>IF(C341="","",IF(COUNTIF(Inventory!$A$2:$A$501,C341)&lt;&gt;1,"Check lot ID",IF(OR(A341="",B341="",E341="",F341=""),"Complete required fields",IF(COUNTIF($B$2:$B$501,B341)&gt;1,"Duplicate sale ID",IF(AND(D341&lt;&gt;"",COUNTIF(Clients!$A$2:$A$501,D341)&lt;&gt;1),"Check client ID",IF(VLOOKUP(C341,Inventory!$A$2:$L$501,12,FALSE)&lt;0,"OVER SOLD","OK"))))))</f>
        <v/>
      </c>
    </row>
    <row r="342" ht="23" customHeight="1">
      <c r="A342" s="17" t="n"/>
      <c r="B342" s="9" t="n"/>
      <c r="C342" s="9" t="n"/>
      <c r="D342" s="9" t="n"/>
      <c r="E342" s="10" t="n"/>
      <c r="F342" s="11" t="n"/>
      <c r="G342" s="13">
        <f>IF(C342="","",ROUND(E342*F342,2))</f>
        <v/>
      </c>
      <c r="H342" s="13">
        <f>IF(C342="","",IFERROR(VLOOKUP(C342,Inventory!$A$2:$J$501,9,FALSE),0))</f>
        <v/>
      </c>
      <c r="I342" s="13">
        <f>IF(C342="","",ROUND(E342*H342,2))</f>
        <v/>
      </c>
      <c r="J342" s="11" t="n"/>
      <c r="K342" s="11" t="n"/>
      <c r="L342" s="13">
        <f>IF(C342="","",ROUND(G342-I342-J342-K342,2))</f>
        <v/>
      </c>
      <c r="M342" s="10" t="n"/>
      <c r="N342" s="10" t="n"/>
      <c r="O342" s="12">
        <f>IF(C342="","",IFERROR(VLOOKUP(C342,Inventory!$A$2:$B$501,2,FALSE),"Unknown lot"))</f>
        <v/>
      </c>
      <c r="P342" s="12">
        <f>IF(D342="","",IFERROR(VLOOKUP(D342,Clients!$A$2:$B$501,2,FALSE),"Unknown client"))</f>
        <v/>
      </c>
      <c r="Q342" s="12">
        <f>IF(C342="","",IF(COUNTIF(Inventory!$A$2:$A$501,C342)&lt;&gt;1,"Check lot ID",IF(OR(A342="",B342="",E342="",F342=""),"Complete required fields",IF(COUNTIF($B$2:$B$501,B342)&gt;1,"Duplicate sale ID",IF(AND(D342&lt;&gt;"",COUNTIF(Clients!$A$2:$A$501,D342)&lt;&gt;1),"Check client ID",IF(VLOOKUP(C342,Inventory!$A$2:$L$501,12,FALSE)&lt;0,"OVER SOLD","OK"))))))</f>
        <v/>
      </c>
    </row>
    <row r="343" ht="23" customHeight="1">
      <c r="A343" s="18" t="n"/>
      <c r="B343" s="14" t="n"/>
      <c r="C343" s="14" t="n"/>
      <c r="D343" s="14" t="n"/>
      <c r="E343" s="15" t="n"/>
      <c r="F343" s="16" t="n"/>
      <c r="G343" s="13">
        <f>IF(C343="","",ROUND(E343*F343,2))</f>
        <v/>
      </c>
      <c r="H343" s="13">
        <f>IF(C343="","",IFERROR(VLOOKUP(C343,Inventory!$A$2:$J$501,9,FALSE),0))</f>
        <v/>
      </c>
      <c r="I343" s="13">
        <f>IF(C343="","",ROUND(E343*H343,2))</f>
        <v/>
      </c>
      <c r="J343" s="16" t="n"/>
      <c r="K343" s="16" t="n"/>
      <c r="L343" s="13">
        <f>IF(C343="","",ROUND(G343-I343-J343-K343,2))</f>
        <v/>
      </c>
      <c r="M343" s="15" t="n"/>
      <c r="N343" s="15" t="n"/>
      <c r="O343" s="12">
        <f>IF(C343="","",IFERROR(VLOOKUP(C343,Inventory!$A$2:$B$501,2,FALSE),"Unknown lot"))</f>
        <v/>
      </c>
      <c r="P343" s="12">
        <f>IF(D343="","",IFERROR(VLOOKUP(D343,Clients!$A$2:$B$501,2,FALSE),"Unknown client"))</f>
        <v/>
      </c>
      <c r="Q343" s="12">
        <f>IF(C343="","",IF(COUNTIF(Inventory!$A$2:$A$501,C343)&lt;&gt;1,"Check lot ID",IF(OR(A343="",B343="",E343="",F343=""),"Complete required fields",IF(COUNTIF($B$2:$B$501,B343)&gt;1,"Duplicate sale ID",IF(AND(D343&lt;&gt;"",COUNTIF(Clients!$A$2:$A$501,D343)&lt;&gt;1),"Check client ID",IF(VLOOKUP(C343,Inventory!$A$2:$L$501,12,FALSE)&lt;0,"OVER SOLD","OK"))))))</f>
        <v/>
      </c>
    </row>
    <row r="344" ht="23" customHeight="1">
      <c r="A344" s="17" t="n"/>
      <c r="B344" s="9" t="n"/>
      <c r="C344" s="9" t="n"/>
      <c r="D344" s="9" t="n"/>
      <c r="E344" s="10" t="n"/>
      <c r="F344" s="11" t="n"/>
      <c r="G344" s="13">
        <f>IF(C344="","",ROUND(E344*F344,2))</f>
        <v/>
      </c>
      <c r="H344" s="13">
        <f>IF(C344="","",IFERROR(VLOOKUP(C344,Inventory!$A$2:$J$501,9,FALSE),0))</f>
        <v/>
      </c>
      <c r="I344" s="13">
        <f>IF(C344="","",ROUND(E344*H344,2))</f>
        <v/>
      </c>
      <c r="J344" s="11" t="n"/>
      <c r="K344" s="11" t="n"/>
      <c r="L344" s="13">
        <f>IF(C344="","",ROUND(G344-I344-J344-K344,2))</f>
        <v/>
      </c>
      <c r="M344" s="10" t="n"/>
      <c r="N344" s="10" t="n"/>
      <c r="O344" s="12">
        <f>IF(C344="","",IFERROR(VLOOKUP(C344,Inventory!$A$2:$B$501,2,FALSE),"Unknown lot"))</f>
        <v/>
      </c>
      <c r="P344" s="12">
        <f>IF(D344="","",IFERROR(VLOOKUP(D344,Clients!$A$2:$B$501,2,FALSE),"Unknown client"))</f>
        <v/>
      </c>
      <c r="Q344" s="12">
        <f>IF(C344="","",IF(COUNTIF(Inventory!$A$2:$A$501,C344)&lt;&gt;1,"Check lot ID",IF(OR(A344="",B344="",E344="",F344=""),"Complete required fields",IF(COUNTIF($B$2:$B$501,B344)&gt;1,"Duplicate sale ID",IF(AND(D344&lt;&gt;"",COUNTIF(Clients!$A$2:$A$501,D344)&lt;&gt;1),"Check client ID",IF(VLOOKUP(C344,Inventory!$A$2:$L$501,12,FALSE)&lt;0,"OVER SOLD","OK"))))))</f>
        <v/>
      </c>
    </row>
    <row r="345" ht="23" customHeight="1">
      <c r="A345" s="18" t="n"/>
      <c r="B345" s="14" t="n"/>
      <c r="C345" s="14" t="n"/>
      <c r="D345" s="14" t="n"/>
      <c r="E345" s="15" t="n"/>
      <c r="F345" s="16" t="n"/>
      <c r="G345" s="13">
        <f>IF(C345="","",ROUND(E345*F345,2))</f>
        <v/>
      </c>
      <c r="H345" s="13">
        <f>IF(C345="","",IFERROR(VLOOKUP(C345,Inventory!$A$2:$J$501,9,FALSE),0))</f>
        <v/>
      </c>
      <c r="I345" s="13">
        <f>IF(C345="","",ROUND(E345*H345,2))</f>
        <v/>
      </c>
      <c r="J345" s="16" t="n"/>
      <c r="K345" s="16" t="n"/>
      <c r="L345" s="13">
        <f>IF(C345="","",ROUND(G345-I345-J345-K345,2))</f>
        <v/>
      </c>
      <c r="M345" s="15" t="n"/>
      <c r="N345" s="15" t="n"/>
      <c r="O345" s="12">
        <f>IF(C345="","",IFERROR(VLOOKUP(C345,Inventory!$A$2:$B$501,2,FALSE),"Unknown lot"))</f>
        <v/>
      </c>
      <c r="P345" s="12">
        <f>IF(D345="","",IFERROR(VLOOKUP(D345,Clients!$A$2:$B$501,2,FALSE),"Unknown client"))</f>
        <v/>
      </c>
      <c r="Q345" s="12">
        <f>IF(C345="","",IF(COUNTIF(Inventory!$A$2:$A$501,C345)&lt;&gt;1,"Check lot ID",IF(OR(A345="",B345="",E345="",F345=""),"Complete required fields",IF(COUNTIF($B$2:$B$501,B345)&gt;1,"Duplicate sale ID",IF(AND(D345&lt;&gt;"",COUNTIF(Clients!$A$2:$A$501,D345)&lt;&gt;1),"Check client ID",IF(VLOOKUP(C345,Inventory!$A$2:$L$501,12,FALSE)&lt;0,"OVER SOLD","OK"))))))</f>
        <v/>
      </c>
    </row>
    <row r="346" ht="23" customHeight="1">
      <c r="A346" s="17" t="n"/>
      <c r="B346" s="9" t="n"/>
      <c r="C346" s="9" t="n"/>
      <c r="D346" s="9" t="n"/>
      <c r="E346" s="10" t="n"/>
      <c r="F346" s="11" t="n"/>
      <c r="G346" s="13">
        <f>IF(C346="","",ROUND(E346*F346,2))</f>
        <v/>
      </c>
      <c r="H346" s="13">
        <f>IF(C346="","",IFERROR(VLOOKUP(C346,Inventory!$A$2:$J$501,9,FALSE),0))</f>
        <v/>
      </c>
      <c r="I346" s="13">
        <f>IF(C346="","",ROUND(E346*H346,2))</f>
        <v/>
      </c>
      <c r="J346" s="11" t="n"/>
      <c r="K346" s="11" t="n"/>
      <c r="L346" s="13">
        <f>IF(C346="","",ROUND(G346-I346-J346-K346,2))</f>
        <v/>
      </c>
      <c r="M346" s="10" t="n"/>
      <c r="N346" s="10" t="n"/>
      <c r="O346" s="12">
        <f>IF(C346="","",IFERROR(VLOOKUP(C346,Inventory!$A$2:$B$501,2,FALSE),"Unknown lot"))</f>
        <v/>
      </c>
      <c r="P346" s="12">
        <f>IF(D346="","",IFERROR(VLOOKUP(D346,Clients!$A$2:$B$501,2,FALSE),"Unknown client"))</f>
        <v/>
      </c>
      <c r="Q346" s="12">
        <f>IF(C346="","",IF(COUNTIF(Inventory!$A$2:$A$501,C346)&lt;&gt;1,"Check lot ID",IF(OR(A346="",B346="",E346="",F346=""),"Complete required fields",IF(COUNTIF($B$2:$B$501,B346)&gt;1,"Duplicate sale ID",IF(AND(D346&lt;&gt;"",COUNTIF(Clients!$A$2:$A$501,D346)&lt;&gt;1),"Check client ID",IF(VLOOKUP(C346,Inventory!$A$2:$L$501,12,FALSE)&lt;0,"OVER SOLD","OK"))))))</f>
        <v/>
      </c>
    </row>
    <row r="347" ht="23" customHeight="1">
      <c r="A347" s="18" t="n"/>
      <c r="B347" s="14" t="n"/>
      <c r="C347" s="14" t="n"/>
      <c r="D347" s="14" t="n"/>
      <c r="E347" s="15" t="n"/>
      <c r="F347" s="16" t="n"/>
      <c r="G347" s="13">
        <f>IF(C347="","",ROUND(E347*F347,2))</f>
        <v/>
      </c>
      <c r="H347" s="13">
        <f>IF(C347="","",IFERROR(VLOOKUP(C347,Inventory!$A$2:$J$501,9,FALSE),0))</f>
        <v/>
      </c>
      <c r="I347" s="13">
        <f>IF(C347="","",ROUND(E347*H347,2))</f>
        <v/>
      </c>
      <c r="J347" s="16" t="n"/>
      <c r="K347" s="16" t="n"/>
      <c r="L347" s="13">
        <f>IF(C347="","",ROUND(G347-I347-J347-K347,2))</f>
        <v/>
      </c>
      <c r="M347" s="15" t="n"/>
      <c r="N347" s="15" t="n"/>
      <c r="O347" s="12">
        <f>IF(C347="","",IFERROR(VLOOKUP(C347,Inventory!$A$2:$B$501,2,FALSE),"Unknown lot"))</f>
        <v/>
      </c>
      <c r="P347" s="12">
        <f>IF(D347="","",IFERROR(VLOOKUP(D347,Clients!$A$2:$B$501,2,FALSE),"Unknown client"))</f>
        <v/>
      </c>
      <c r="Q347" s="12">
        <f>IF(C347="","",IF(COUNTIF(Inventory!$A$2:$A$501,C347)&lt;&gt;1,"Check lot ID",IF(OR(A347="",B347="",E347="",F347=""),"Complete required fields",IF(COUNTIF($B$2:$B$501,B347)&gt;1,"Duplicate sale ID",IF(AND(D347&lt;&gt;"",COUNTIF(Clients!$A$2:$A$501,D347)&lt;&gt;1),"Check client ID",IF(VLOOKUP(C347,Inventory!$A$2:$L$501,12,FALSE)&lt;0,"OVER SOLD","OK"))))))</f>
        <v/>
      </c>
    </row>
    <row r="348" ht="23" customHeight="1">
      <c r="A348" s="17" t="n"/>
      <c r="B348" s="9" t="n"/>
      <c r="C348" s="9" t="n"/>
      <c r="D348" s="9" t="n"/>
      <c r="E348" s="10" t="n"/>
      <c r="F348" s="11" t="n"/>
      <c r="G348" s="13">
        <f>IF(C348="","",ROUND(E348*F348,2))</f>
        <v/>
      </c>
      <c r="H348" s="13">
        <f>IF(C348="","",IFERROR(VLOOKUP(C348,Inventory!$A$2:$J$501,9,FALSE),0))</f>
        <v/>
      </c>
      <c r="I348" s="13">
        <f>IF(C348="","",ROUND(E348*H348,2))</f>
        <v/>
      </c>
      <c r="J348" s="11" t="n"/>
      <c r="K348" s="11" t="n"/>
      <c r="L348" s="13">
        <f>IF(C348="","",ROUND(G348-I348-J348-K348,2))</f>
        <v/>
      </c>
      <c r="M348" s="10" t="n"/>
      <c r="N348" s="10" t="n"/>
      <c r="O348" s="12">
        <f>IF(C348="","",IFERROR(VLOOKUP(C348,Inventory!$A$2:$B$501,2,FALSE),"Unknown lot"))</f>
        <v/>
      </c>
      <c r="P348" s="12">
        <f>IF(D348="","",IFERROR(VLOOKUP(D348,Clients!$A$2:$B$501,2,FALSE),"Unknown client"))</f>
        <v/>
      </c>
      <c r="Q348" s="12">
        <f>IF(C348="","",IF(COUNTIF(Inventory!$A$2:$A$501,C348)&lt;&gt;1,"Check lot ID",IF(OR(A348="",B348="",E348="",F348=""),"Complete required fields",IF(COUNTIF($B$2:$B$501,B348)&gt;1,"Duplicate sale ID",IF(AND(D348&lt;&gt;"",COUNTIF(Clients!$A$2:$A$501,D348)&lt;&gt;1),"Check client ID",IF(VLOOKUP(C348,Inventory!$A$2:$L$501,12,FALSE)&lt;0,"OVER SOLD","OK"))))))</f>
        <v/>
      </c>
    </row>
    <row r="349" ht="23" customHeight="1">
      <c r="A349" s="18" t="n"/>
      <c r="B349" s="14" t="n"/>
      <c r="C349" s="14" t="n"/>
      <c r="D349" s="14" t="n"/>
      <c r="E349" s="15" t="n"/>
      <c r="F349" s="16" t="n"/>
      <c r="G349" s="13">
        <f>IF(C349="","",ROUND(E349*F349,2))</f>
        <v/>
      </c>
      <c r="H349" s="13">
        <f>IF(C349="","",IFERROR(VLOOKUP(C349,Inventory!$A$2:$J$501,9,FALSE),0))</f>
        <v/>
      </c>
      <c r="I349" s="13">
        <f>IF(C349="","",ROUND(E349*H349,2))</f>
        <v/>
      </c>
      <c r="J349" s="16" t="n"/>
      <c r="K349" s="16" t="n"/>
      <c r="L349" s="13">
        <f>IF(C349="","",ROUND(G349-I349-J349-K349,2))</f>
        <v/>
      </c>
      <c r="M349" s="15" t="n"/>
      <c r="N349" s="15" t="n"/>
      <c r="O349" s="12">
        <f>IF(C349="","",IFERROR(VLOOKUP(C349,Inventory!$A$2:$B$501,2,FALSE),"Unknown lot"))</f>
        <v/>
      </c>
      <c r="P349" s="12">
        <f>IF(D349="","",IFERROR(VLOOKUP(D349,Clients!$A$2:$B$501,2,FALSE),"Unknown client"))</f>
        <v/>
      </c>
      <c r="Q349" s="12">
        <f>IF(C349="","",IF(COUNTIF(Inventory!$A$2:$A$501,C349)&lt;&gt;1,"Check lot ID",IF(OR(A349="",B349="",E349="",F349=""),"Complete required fields",IF(COUNTIF($B$2:$B$501,B349)&gt;1,"Duplicate sale ID",IF(AND(D349&lt;&gt;"",COUNTIF(Clients!$A$2:$A$501,D349)&lt;&gt;1),"Check client ID",IF(VLOOKUP(C349,Inventory!$A$2:$L$501,12,FALSE)&lt;0,"OVER SOLD","OK"))))))</f>
        <v/>
      </c>
    </row>
    <row r="350" ht="23" customHeight="1">
      <c r="A350" s="17" t="n"/>
      <c r="B350" s="9" t="n"/>
      <c r="C350" s="9" t="n"/>
      <c r="D350" s="9" t="n"/>
      <c r="E350" s="10" t="n"/>
      <c r="F350" s="11" t="n"/>
      <c r="G350" s="13">
        <f>IF(C350="","",ROUND(E350*F350,2))</f>
        <v/>
      </c>
      <c r="H350" s="13">
        <f>IF(C350="","",IFERROR(VLOOKUP(C350,Inventory!$A$2:$J$501,9,FALSE),0))</f>
        <v/>
      </c>
      <c r="I350" s="13">
        <f>IF(C350="","",ROUND(E350*H350,2))</f>
        <v/>
      </c>
      <c r="J350" s="11" t="n"/>
      <c r="K350" s="11" t="n"/>
      <c r="L350" s="13">
        <f>IF(C350="","",ROUND(G350-I350-J350-K350,2))</f>
        <v/>
      </c>
      <c r="M350" s="10" t="n"/>
      <c r="N350" s="10" t="n"/>
      <c r="O350" s="12">
        <f>IF(C350="","",IFERROR(VLOOKUP(C350,Inventory!$A$2:$B$501,2,FALSE),"Unknown lot"))</f>
        <v/>
      </c>
      <c r="P350" s="12">
        <f>IF(D350="","",IFERROR(VLOOKUP(D350,Clients!$A$2:$B$501,2,FALSE),"Unknown client"))</f>
        <v/>
      </c>
      <c r="Q350" s="12">
        <f>IF(C350="","",IF(COUNTIF(Inventory!$A$2:$A$501,C350)&lt;&gt;1,"Check lot ID",IF(OR(A350="",B350="",E350="",F350=""),"Complete required fields",IF(COUNTIF($B$2:$B$501,B350)&gt;1,"Duplicate sale ID",IF(AND(D350&lt;&gt;"",COUNTIF(Clients!$A$2:$A$501,D350)&lt;&gt;1),"Check client ID",IF(VLOOKUP(C350,Inventory!$A$2:$L$501,12,FALSE)&lt;0,"OVER SOLD","OK"))))))</f>
        <v/>
      </c>
    </row>
    <row r="351" ht="23" customHeight="1">
      <c r="A351" s="18" t="n"/>
      <c r="B351" s="14" t="n"/>
      <c r="C351" s="14" t="n"/>
      <c r="D351" s="14" t="n"/>
      <c r="E351" s="15" t="n"/>
      <c r="F351" s="16" t="n"/>
      <c r="G351" s="13">
        <f>IF(C351="","",ROUND(E351*F351,2))</f>
        <v/>
      </c>
      <c r="H351" s="13">
        <f>IF(C351="","",IFERROR(VLOOKUP(C351,Inventory!$A$2:$J$501,9,FALSE),0))</f>
        <v/>
      </c>
      <c r="I351" s="13">
        <f>IF(C351="","",ROUND(E351*H351,2))</f>
        <v/>
      </c>
      <c r="J351" s="16" t="n"/>
      <c r="K351" s="16" t="n"/>
      <c r="L351" s="13">
        <f>IF(C351="","",ROUND(G351-I351-J351-K351,2))</f>
        <v/>
      </c>
      <c r="M351" s="15" t="n"/>
      <c r="N351" s="15" t="n"/>
      <c r="O351" s="12">
        <f>IF(C351="","",IFERROR(VLOOKUP(C351,Inventory!$A$2:$B$501,2,FALSE),"Unknown lot"))</f>
        <v/>
      </c>
      <c r="P351" s="12">
        <f>IF(D351="","",IFERROR(VLOOKUP(D351,Clients!$A$2:$B$501,2,FALSE),"Unknown client"))</f>
        <v/>
      </c>
      <c r="Q351" s="12">
        <f>IF(C351="","",IF(COUNTIF(Inventory!$A$2:$A$501,C351)&lt;&gt;1,"Check lot ID",IF(OR(A351="",B351="",E351="",F351=""),"Complete required fields",IF(COUNTIF($B$2:$B$501,B351)&gt;1,"Duplicate sale ID",IF(AND(D351&lt;&gt;"",COUNTIF(Clients!$A$2:$A$501,D351)&lt;&gt;1),"Check client ID",IF(VLOOKUP(C351,Inventory!$A$2:$L$501,12,FALSE)&lt;0,"OVER SOLD","OK"))))))</f>
        <v/>
      </c>
    </row>
    <row r="352" ht="23" customHeight="1">
      <c r="A352" s="17" t="n"/>
      <c r="B352" s="9" t="n"/>
      <c r="C352" s="9" t="n"/>
      <c r="D352" s="9" t="n"/>
      <c r="E352" s="10" t="n"/>
      <c r="F352" s="11" t="n"/>
      <c r="G352" s="13">
        <f>IF(C352="","",ROUND(E352*F352,2))</f>
        <v/>
      </c>
      <c r="H352" s="13">
        <f>IF(C352="","",IFERROR(VLOOKUP(C352,Inventory!$A$2:$J$501,9,FALSE),0))</f>
        <v/>
      </c>
      <c r="I352" s="13">
        <f>IF(C352="","",ROUND(E352*H352,2))</f>
        <v/>
      </c>
      <c r="J352" s="11" t="n"/>
      <c r="K352" s="11" t="n"/>
      <c r="L352" s="13">
        <f>IF(C352="","",ROUND(G352-I352-J352-K352,2))</f>
        <v/>
      </c>
      <c r="M352" s="10" t="n"/>
      <c r="N352" s="10" t="n"/>
      <c r="O352" s="12">
        <f>IF(C352="","",IFERROR(VLOOKUP(C352,Inventory!$A$2:$B$501,2,FALSE),"Unknown lot"))</f>
        <v/>
      </c>
      <c r="P352" s="12">
        <f>IF(D352="","",IFERROR(VLOOKUP(D352,Clients!$A$2:$B$501,2,FALSE),"Unknown client"))</f>
        <v/>
      </c>
      <c r="Q352" s="12">
        <f>IF(C352="","",IF(COUNTIF(Inventory!$A$2:$A$501,C352)&lt;&gt;1,"Check lot ID",IF(OR(A352="",B352="",E352="",F352=""),"Complete required fields",IF(COUNTIF($B$2:$B$501,B352)&gt;1,"Duplicate sale ID",IF(AND(D352&lt;&gt;"",COUNTIF(Clients!$A$2:$A$501,D352)&lt;&gt;1),"Check client ID",IF(VLOOKUP(C352,Inventory!$A$2:$L$501,12,FALSE)&lt;0,"OVER SOLD","OK"))))))</f>
        <v/>
      </c>
    </row>
    <row r="353" ht="23" customHeight="1">
      <c r="A353" s="18" t="n"/>
      <c r="B353" s="14" t="n"/>
      <c r="C353" s="14" t="n"/>
      <c r="D353" s="14" t="n"/>
      <c r="E353" s="15" t="n"/>
      <c r="F353" s="16" t="n"/>
      <c r="G353" s="13">
        <f>IF(C353="","",ROUND(E353*F353,2))</f>
        <v/>
      </c>
      <c r="H353" s="13">
        <f>IF(C353="","",IFERROR(VLOOKUP(C353,Inventory!$A$2:$J$501,9,FALSE),0))</f>
        <v/>
      </c>
      <c r="I353" s="13">
        <f>IF(C353="","",ROUND(E353*H353,2))</f>
        <v/>
      </c>
      <c r="J353" s="16" t="n"/>
      <c r="K353" s="16" t="n"/>
      <c r="L353" s="13">
        <f>IF(C353="","",ROUND(G353-I353-J353-K353,2))</f>
        <v/>
      </c>
      <c r="M353" s="15" t="n"/>
      <c r="N353" s="15" t="n"/>
      <c r="O353" s="12">
        <f>IF(C353="","",IFERROR(VLOOKUP(C353,Inventory!$A$2:$B$501,2,FALSE),"Unknown lot"))</f>
        <v/>
      </c>
      <c r="P353" s="12">
        <f>IF(D353="","",IFERROR(VLOOKUP(D353,Clients!$A$2:$B$501,2,FALSE),"Unknown client"))</f>
        <v/>
      </c>
      <c r="Q353" s="12">
        <f>IF(C353="","",IF(COUNTIF(Inventory!$A$2:$A$501,C353)&lt;&gt;1,"Check lot ID",IF(OR(A353="",B353="",E353="",F353=""),"Complete required fields",IF(COUNTIF($B$2:$B$501,B353)&gt;1,"Duplicate sale ID",IF(AND(D353&lt;&gt;"",COUNTIF(Clients!$A$2:$A$501,D353)&lt;&gt;1),"Check client ID",IF(VLOOKUP(C353,Inventory!$A$2:$L$501,12,FALSE)&lt;0,"OVER SOLD","OK"))))))</f>
        <v/>
      </c>
    </row>
    <row r="354" ht="23" customHeight="1">
      <c r="A354" s="17" t="n"/>
      <c r="B354" s="9" t="n"/>
      <c r="C354" s="9" t="n"/>
      <c r="D354" s="9" t="n"/>
      <c r="E354" s="10" t="n"/>
      <c r="F354" s="11" t="n"/>
      <c r="G354" s="13">
        <f>IF(C354="","",ROUND(E354*F354,2))</f>
        <v/>
      </c>
      <c r="H354" s="13">
        <f>IF(C354="","",IFERROR(VLOOKUP(C354,Inventory!$A$2:$J$501,9,FALSE),0))</f>
        <v/>
      </c>
      <c r="I354" s="13">
        <f>IF(C354="","",ROUND(E354*H354,2))</f>
        <v/>
      </c>
      <c r="J354" s="11" t="n"/>
      <c r="K354" s="11" t="n"/>
      <c r="L354" s="13">
        <f>IF(C354="","",ROUND(G354-I354-J354-K354,2))</f>
        <v/>
      </c>
      <c r="M354" s="10" t="n"/>
      <c r="N354" s="10" t="n"/>
      <c r="O354" s="12">
        <f>IF(C354="","",IFERROR(VLOOKUP(C354,Inventory!$A$2:$B$501,2,FALSE),"Unknown lot"))</f>
        <v/>
      </c>
      <c r="P354" s="12">
        <f>IF(D354="","",IFERROR(VLOOKUP(D354,Clients!$A$2:$B$501,2,FALSE),"Unknown client"))</f>
        <v/>
      </c>
      <c r="Q354" s="12">
        <f>IF(C354="","",IF(COUNTIF(Inventory!$A$2:$A$501,C354)&lt;&gt;1,"Check lot ID",IF(OR(A354="",B354="",E354="",F354=""),"Complete required fields",IF(COUNTIF($B$2:$B$501,B354)&gt;1,"Duplicate sale ID",IF(AND(D354&lt;&gt;"",COUNTIF(Clients!$A$2:$A$501,D354)&lt;&gt;1),"Check client ID",IF(VLOOKUP(C354,Inventory!$A$2:$L$501,12,FALSE)&lt;0,"OVER SOLD","OK"))))))</f>
        <v/>
      </c>
    </row>
    <row r="355" ht="23" customHeight="1">
      <c r="A355" s="18" t="n"/>
      <c r="B355" s="14" t="n"/>
      <c r="C355" s="14" t="n"/>
      <c r="D355" s="14" t="n"/>
      <c r="E355" s="15" t="n"/>
      <c r="F355" s="16" t="n"/>
      <c r="G355" s="13">
        <f>IF(C355="","",ROUND(E355*F355,2))</f>
        <v/>
      </c>
      <c r="H355" s="13">
        <f>IF(C355="","",IFERROR(VLOOKUP(C355,Inventory!$A$2:$J$501,9,FALSE),0))</f>
        <v/>
      </c>
      <c r="I355" s="13">
        <f>IF(C355="","",ROUND(E355*H355,2))</f>
        <v/>
      </c>
      <c r="J355" s="16" t="n"/>
      <c r="K355" s="16" t="n"/>
      <c r="L355" s="13">
        <f>IF(C355="","",ROUND(G355-I355-J355-K355,2))</f>
        <v/>
      </c>
      <c r="M355" s="15" t="n"/>
      <c r="N355" s="15" t="n"/>
      <c r="O355" s="12">
        <f>IF(C355="","",IFERROR(VLOOKUP(C355,Inventory!$A$2:$B$501,2,FALSE),"Unknown lot"))</f>
        <v/>
      </c>
      <c r="P355" s="12">
        <f>IF(D355="","",IFERROR(VLOOKUP(D355,Clients!$A$2:$B$501,2,FALSE),"Unknown client"))</f>
        <v/>
      </c>
      <c r="Q355" s="12">
        <f>IF(C355="","",IF(COUNTIF(Inventory!$A$2:$A$501,C355)&lt;&gt;1,"Check lot ID",IF(OR(A355="",B355="",E355="",F355=""),"Complete required fields",IF(COUNTIF($B$2:$B$501,B355)&gt;1,"Duplicate sale ID",IF(AND(D355&lt;&gt;"",COUNTIF(Clients!$A$2:$A$501,D355)&lt;&gt;1),"Check client ID",IF(VLOOKUP(C355,Inventory!$A$2:$L$501,12,FALSE)&lt;0,"OVER SOLD","OK"))))))</f>
        <v/>
      </c>
    </row>
    <row r="356" ht="23" customHeight="1">
      <c r="A356" s="17" t="n"/>
      <c r="B356" s="9" t="n"/>
      <c r="C356" s="9" t="n"/>
      <c r="D356" s="9" t="n"/>
      <c r="E356" s="10" t="n"/>
      <c r="F356" s="11" t="n"/>
      <c r="G356" s="13">
        <f>IF(C356="","",ROUND(E356*F356,2))</f>
        <v/>
      </c>
      <c r="H356" s="13">
        <f>IF(C356="","",IFERROR(VLOOKUP(C356,Inventory!$A$2:$J$501,9,FALSE),0))</f>
        <v/>
      </c>
      <c r="I356" s="13">
        <f>IF(C356="","",ROUND(E356*H356,2))</f>
        <v/>
      </c>
      <c r="J356" s="11" t="n"/>
      <c r="K356" s="11" t="n"/>
      <c r="L356" s="13">
        <f>IF(C356="","",ROUND(G356-I356-J356-K356,2))</f>
        <v/>
      </c>
      <c r="M356" s="10" t="n"/>
      <c r="N356" s="10" t="n"/>
      <c r="O356" s="12">
        <f>IF(C356="","",IFERROR(VLOOKUP(C356,Inventory!$A$2:$B$501,2,FALSE),"Unknown lot"))</f>
        <v/>
      </c>
      <c r="P356" s="12">
        <f>IF(D356="","",IFERROR(VLOOKUP(D356,Clients!$A$2:$B$501,2,FALSE),"Unknown client"))</f>
        <v/>
      </c>
      <c r="Q356" s="12">
        <f>IF(C356="","",IF(COUNTIF(Inventory!$A$2:$A$501,C356)&lt;&gt;1,"Check lot ID",IF(OR(A356="",B356="",E356="",F356=""),"Complete required fields",IF(COUNTIF($B$2:$B$501,B356)&gt;1,"Duplicate sale ID",IF(AND(D356&lt;&gt;"",COUNTIF(Clients!$A$2:$A$501,D356)&lt;&gt;1),"Check client ID",IF(VLOOKUP(C356,Inventory!$A$2:$L$501,12,FALSE)&lt;0,"OVER SOLD","OK"))))))</f>
        <v/>
      </c>
    </row>
    <row r="357" ht="23" customHeight="1">
      <c r="A357" s="18" t="n"/>
      <c r="B357" s="14" t="n"/>
      <c r="C357" s="14" t="n"/>
      <c r="D357" s="14" t="n"/>
      <c r="E357" s="15" t="n"/>
      <c r="F357" s="16" t="n"/>
      <c r="G357" s="13">
        <f>IF(C357="","",ROUND(E357*F357,2))</f>
        <v/>
      </c>
      <c r="H357" s="13">
        <f>IF(C357="","",IFERROR(VLOOKUP(C357,Inventory!$A$2:$J$501,9,FALSE),0))</f>
        <v/>
      </c>
      <c r="I357" s="13">
        <f>IF(C357="","",ROUND(E357*H357,2))</f>
        <v/>
      </c>
      <c r="J357" s="16" t="n"/>
      <c r="K357" s="16" t="n"/>
      <c r="L357" s="13">
        <f>IF(C357="","",ROUND(G357-I357-J357-K357,2))</f>
        <v/>
      </c>
      <c r="M357" s="15" t="n"/>
      <c r="N357" s="15" t="n"/>
      <c r="O357" s="12">
        <f>IF(C357="","",IFERROR(VLOOKUP(C357,Inventory!$A$2:$B$501,2,FALSE),"Unknown lot"))</f>
        <v/>
      </c>
      <c r="P357" s="12">
        <f>IF(D357="","",IFERROR(VLOOKUP(D357,Clients!$A$2:$B$501,2,FALSE),"Unknown client"))</f>
        <v/>
      </c>
      <c r="Q357" s="12">
        <f>IF(C357="","",IF(COUNTIF(Inventory!$A$2:$A$501,C357)&lt;&gt;1,"Check lot ID",IF(OR(A357="",B357="",E357="",F357=""),"Complete required fields",IF(COUNTIF($B$2:$B$501,B357)&gt;1,"Duplicate sale ID",IF(AND(D357&lt;&gt;"",COUNTIF(Clients!$A$2:$A$501,D357)&lt;&gt;1),"Check client ID",IF(VLOOKUP(C357,Inventory!$A$2:$L$501,12,FALSE)&lt;0,"OVER SOLD","OK"))))))</f>
        <v/>
      </c>
    </row>
    <row r="358" ht="23" customHeight="1">
      <c r="A358" s="17" t="n"/>
      <c r="B358" s="9" t="n"/>
      <c r="C358" s="9" t="n"/>
      <c r="D358" s="9" t="n"/>
      <c r="E358" s="10" t="n"/>
      <c r="F358" s="11" t="n"/>
      <c r="G358" s="13">
        <f>IF(C358="","",ROUND(E358*F358,2))</f>
        <v/>
      </c>
      <c r="H358" s="13">
        <f>IF(C358="","",IFERROR(VLOOKUP(C358,Inventory!$A$2:$J$501,9,FALSE),0))</f>
        <v/>
      </c>
      <c r="I358" s="13">
        <f>IF(C358="","",ROUND(E358*H358,2))</f>
        <v/>
      </c>
      <c r="J358" s="11" t="n"/>
      <c r="K358" s="11" t="n"/>
      <c r="L358" s="13">
        <f>IF(C358="","",ROUND(G358-I358-J358-K358,2))</f>
        <v/>
      </c>
      <c r="M358" s="10" t="n"/>
      <c r="N358" s="10" t="n"/>
      <c r="O358" s="12">
        <f>IF(C358="","",IFERROR(VLOOKUP(C358,Inventory!$A$2:$B$501,2,FALSE),"Unknown lot"))</f>
        <v/>
      </c>
      <c r="P358" s="12">
        <f>IF(D358="","",IFERROR(VLOOKUP(D358,Clients!$A$2:$B$501,2,FALSE),"Unknown client"))</f>
        <v/>
      </c>
      <c r="Q358" s="12">
        <f>IF(C358="","",IF(COUNTIF(Inventory!$A$2:$A$501,C358)&lt;&gt;1,"Check lot ID",IF(OR(A358="",B358="",E358="",F358=""),"Complete required fields",IF(COUNTIF($B$2:$B$501,B358)&gt;1,"Duplicate sale ID",IF(AND(D358&lt;&gt;"",COUNTIF(Clients!$A$2:$A$501,D358)&lt;&gt;1),"Check client ID",IF(VLOOKUP(C358,Inventory!$A$2:$L$501,12,FALSE)&lt;0,"OVER SOLD","OK"))))))</f>
        <v/>
      </c>
    </row>
    <row r="359" ht="23" customHeight="1">
      <c r="A359" s="18" t="n"/>
      <c r="B359" s="14" t="n"/>
      <c r="C359" s="14" t="n"/>
      <c r="D359" s="14" t="n"/>
      <c r="E359" s="15" t="n"/>
      <c r="F359" s="16" t="n"/>
      <c r="G359" s="13">
        <f>IF(C359="","",ROUND(E359*F359,2))</f>
        <v/>
      </c>
      <c r="H359" s="13">
        <f>IF(C359="","",IFERROR(VLOOKUP(C359,Inventory!$A$2:$J$501,9,FALSE),0))</f>
        <v/>
      </c>
      <c r="I359" s="13">
        <f>IF(C359="","",ROUND(E359*H359,2))</f>
        <v/>
      </c>
      <c r="J359" s="16" t="n"/>
      <c r="K359" s="16" t="n"/>
      <c r="L359" s="13">
        <f>IF(C359="","",ROUND(G359-I359-J359-K359,2))</f>
        <v/>
      </c>
      <c r="M359" s="15" t="n"/>
      <c r="N359" s="15" t="n"/>
      <c r="O359" s="12">
        <f>IF(C359="","",IFERROR(VLOOKUP(C359,Inventory!$A$2:$B$501,2,FALSE),"Unknown lot"))</f>
        <v/>
      </c>
      <c r="P359" s="12">
        <f>IF(D359="","",IFERROR(VLOOKUP(D359,Clients!$A$2:$B$501,2,FALSE),"Unknown client"))</f>
        <v/>
      </c>
      <c r="Q359" s="12">
        <f>IF(C359="","",IF(COUNTIF(Inventory!$A$2:$A$501,C359)&lt;&gt;1,"Check lot ID",IF(OR(A359="",B359="",E359="",F359=""),"Complete required fields",IF(COUNTIF($B$2:$B$501,B359)&gt;1,"Duplicate sale ID",IF(AND(D359&lt;&gt;"",COUNTIF(Clients!$A$2:$A$501,D359)&lt;&gt;1),"Check client ID",IF(VLOOKUP(C359,Inventory!$A$2:$L$501,12,FALSE)&lt;0,"OVER SOLD","OK"))))))</f>
        <v/>
      </c>
    </row>
    <row r="360" ht="23" customHeight="1">
      <c r="A360" s="17" t="n"/>
      <c r="B360" s="9" t="n"/>
      <c r="C360" s="9" t="n"/>
      <c r="D360" s="9" t="n"/>
      <c r="E360" s="10" t="n"/>
      <c r="F360" s="11" t="n"/>
      <c r="G360" s="13">
        <f>IF(C360="","",ROUND(E360*F360,2))</f>
        <v/>
      </c>
      <c r="H360" s="13">
        <f>IF(C360="","",IFERROR(VLOOKUP(C360,Inventory!$A$2:$J$501,9,FALSE),0))</f>
        <v/>
      </c>
      <c r="I360" s="13">
        <f>IF(C360="","",ROUND(E360*H360,2))</f>
        <v/>
      </c>
      <c r="J360" s="11" t="n"/>
      <c r="K360" s="11" t="n"/>
      <c r="L360" s="13">
        <f>IF(C360="","",ROUND(G360-I360-J360-K360,2))</f>
        <v/>
      </c>
      <c r="M360" s="10" t="n"/>
      <c r="N360" s="10" t="n"/>
      <c r="O360" s="12">
        <f>IF(C360="","",IFERROR(VLOOKUP(C360,Inventory!$A$2:$B$501,2,FALSE),"Unknown lot"))</f>
        <v/>
      </c>
      <c r="P360" s="12">
        <f>IF(D360="","",IFERROR(VLOOKUP(D360,Clients!$A$2:$B$501,2,FALSE),"Unknown client"))</f>
        <v/>
      </c>
      <c r="Q360" s="12">
        <f>IF(C360="","",IF(COUNTIF(Inventory!$A$2:$A$501,C360)&lt;&gt;1,"Check lot ID",IF(OR(A360="",B360="",E360="",F360=""),"Complete required fields",IF(COUNTIF($B$2:$B$501,B360)&gt;1,"Duplicate sale ID",IF(AND(D360&lt;&gt;"",COUNTIF(Clients!$A$2:$A$501,D360)&lt;&gt;1),"Check client ID",IF(VLOOKUP(C360,Inventory!$A$2:$L$501,12,FALSE)&lt;0,"OVER SOLD","OK"))))))</f>
        <v/>
      </c>
    </row>
    <row r="361" ht="23" customHeight="1">
      <c r="A361" s="18" t="n"/>
      <c r="B361" s="14" t="n"/>
      <c r="C361" s="14" t="n"/>
      <c r="D361" s="14" t="n"/>
      <c r="E361" s="15" t="n"/>
      <c r="F361" s="16" t="n"/>
      <c r="G361" s="13">
        <f>IF(C361="","",ROUND(E361*F361,2))</f>
        <v/>
      </c>
      <c r="H361" s="13">
        <f>IF(C361="","",IFERROR(VLOOKUP(C361,Inventory!$A$2:$J$501,9,FALSE),0))</f>
        <v/>
      </c>
      <c r="I361" s="13">
        <f>IF(C361="","",ROUND(E361*H361,2))</f>
        <v/>
      </c>
      <c r="J361" s="16" t="n"/>
      <c r="K361" s="16" t="n"/>
      <c r="L361" s="13">
        <f>IF(C361="","",ROUND(G361-I361-J361-K361,2))</f>
        <v/>
      </c>
      <c r="M361" s="15" t="n"/>
      <c r="N361" s="15" t="n"/>
      <c r="O361" s="12">
        <f>IF(C361="","",IFERROR(VLOOKUP(C361,Inventory!$A$2:$B$501,2,FALSE),"Unknown lot"))</f>
        <v/>
      </c>
      <c r="P361" s="12">
        <f>IF(D361="","",IFERROR(VLOOKUP(D361,Clients!$A$2:$B$501,2,FALSE),"Unknown client"))</f>
        <v/>
      </c>
      <c r="Q361" s="12">
        <f>IF(C361="","",IF(COUNTIF(Inventory!$A$2:$A$501,C361)&lt;&gt;1,"Check lot ID",IF(OR(A361="",B361="",E361="",F361=""),"Complete required fields",IF(COUNTIF($B$2:$B$501,B361)&gt;1,"Duplicate sale ID",IF(AND(D361&lt;&gt;"",COUNTIF(Clients!$A$2:$A$501,D361)&lt;&gt;1),"Check client ID",IF(VLOOKUP(C361,Inventory!$A$2:$L$501,12,FALSE)&lt;0,"OVER SOLD","OK"))))))</f>
        <v/>
      </c>
    </row>
    <row r="362" ht="23" customHeight="1">
      <c r="A362" s="17" t="n"/>
      <c r="B362" s="9" t="n"/>
      <c r="C362" s="9" t="n"/>
      <c r="D362" s="9" t="n"/>
      <c r="E362" s="10" t="n"/>
      <c r="F362" s="11" t="n"/>
      <c r="G362" s="13">
        <f>IF(C362="","",ROUND(E362*F362,2))</f>
        <v/>
      </c>
      <c r="H362" s="13">
        <f>IF(C362="","",IFERROR(VLOOKUP(C362,Inventory!$A$2:$J$501,9,FALSE),0))</f>
        <v/>
      </c>
      <c r="I362" s="13">
        <f>IF(C362="","",ROUND(E362*H362,2))</f>
        <v/>
      </c>
      <c r="J362" s="11" t="n"/>
      <c r="K362" s="11" t="n"/>
      <c r="L362" s="13">
        <f>IF(C362="","",ROUND(G362-I362-J362-K362,2))</f>
        <v/>
      </c>
      <c r="M362" s="10" t="n"/>
      <c r="N362" s="10" t="n"/>
      <c r="O362" s="12">
        <f>IF(C362="","",IFERROR(VLOOKUP(C362,Inventory!$A$2:$B$501,2,FALSE),"Unknown lot"))</f>
        <v/>
      </c>
      <c r="P362" s="12">
        <f>IF(D362="","",IFERROR(VLOOKUP(D362,Clients!$A$2:$B$501,2,FALSE),"Unknown client"))</f>
        <v/>
      </c>
      <c r="Q362" s="12">
        <f>IF(C362="","",IF(COUNTIF(Inventory!$A$2:$A$501,C362)&lt;&gt;1,"Check lot ID",IF(OR(A362="",B362="",E362="",F362=""),"Complete required fields",IF(COUNTIF($B$2:$B$501,B362)&gt;1,"Duplicate sale ID",IF(AND(D362&lt;&gt;"",COUNTIF(Clients!$A$2:$A$501,D362)&lt;&gt;1),"Check client ID",IF(VLOOKUP(C362,Inventory!$A$2:$L$501,12,FALSE)&lt;0,"OVER SOLD","OK"))))))</f>
        <v/>
      </c>
    </row>
    <row r="363" ht="23" customHeight="1">
      <c r="A363" s="18" t="n"/>
      <c r="B363" s="14" t="n"/>
      <c r="C363" s="14" t="n"/>
      <c r="D363" s="14" t="n"/>
      <c r="E363" s="15" t="n"/>
      <c r="F363" s="16" t="n"/>
      <c r="G363" s="13">
        <f>IF(C363="","",ROUND(E363*F363,2))</f>
        <v/>
      </c>
      <c r="H363" s="13">
        <f>IF(C363="","",IFERROR(VLOOKUP(C363,Inventory!$A$2:$J$501,9,FALSE),0))</f>
        <v/>
      </c>
      <c r="I363" s="13">
        <f>IF(C363="","",ROUND(E363*H363,2))</f>
        <v/>
      </c>
      <c r="J363" s="16" t="n"/>
      <c r="K363" s="16" t="n"/>
      <c r="L363" s="13">
        <f>IF(C363="","",ROUND(G363-I363-J363-K363,2))</f>
        <v/>
      </c>
      <c r="M363" s="15" t="n"/>
      <c r="N363" s="15" t="n"/>
      <c r="O363" s="12">
        <f>IF(C363="","",IFERROR(VLOOKUP(C363,Inventory!$A$2:$B$501,2,FALSE),"Unknown lot"))</f>
        <v/>
      </c>
      <c r="P363" s="12">
        <f>IF(D363="","",IFERROR(VLOOKUP(D363,Clients!$A$2:$B$501,2,FALSE),"Unknown client"))</f>
        <v/>
      </c>
      <c r="Q363" s="12">
        <f>IF(C363="","",IF(COUNTIF(Inventory!$A$2:$A$501,C363)&lt;&gt;1,"Check lot ID",IF(OR(A363="",B363="",E363="",F363=""),"Complete required fields",IF(COUNTIF($B$2:$B$501,B363)&gt;1,"Duplicate sale ID",IF(AND(D363&lt;&gt;"",COUNTIF(Clients!$A$2:$A$501,D363)&lt;&gt;1),"Check client ID",IF(VLOOKUP(C363,Inventory!$A$2:$L$501,12,FALSE)&lt;0,"OVER SOLD","OK"))))))</f>
        <v/>
      </c>
    </row>
    <row r="364" ht="23" customHeight="1">
      <c r="A364" s="17" t="n"/>
      <c r="B364" s="9" t="n"/>
      <c r="C364" s="9" t="n"/>
      <c r="D364" s="9" t="n"/>
      <c r="E364" s="10" t="n"/>
      <c r="F364" s="11" t="n"/>
      <c r="G364" s="13">
        <f>IF(C364="","",ROUND(E364*F364,2))</f>
        <v/>
      </c>
      <c r="H364" s="13">
        <f>IF(C364="","",IFERROR(VLOOKUP(C364,Inventory!$A$2:$J$501,9,FALSE),0))</f>
        <v/>
      </c>
      <c r="I364" s="13">
        <f>IF(C364="","",ROUND(E364*H364,2))</f>
        <v/>
      </c>
      <c r="J364" s="11" t="n"/>
      <c r="K364" s="11" t="n"/>
      <c r="L364" s="13">
        <f>IF(C364="","",ROUND(G364-I364-J364-K364,2))</f>
        <v/>
      </c>
      <c r="M364" s="10" t="n"/>
      <c r="N364" s="10" t="n"/>
      <c r="O364" s="12">
        <f>IF(C364="","",IFERROR(VLOOKUP(C364,Inventory!$A$2:$B$501,2,FALSE),"Unknown lot"))</f>
        <v/>
      </c>
      <c r="P364" s="12">
        <f>IF(D364="","",IFERROR(VLOOKUP(D364,Clients!$A$2:$B$501,2,FALSE),"Unknown client"))</f>
        <v/>
      </c>
      <c r="Q364" s="12">
        <f>IF(C364="","",IF(COUNTIF(Inventory!$A$2:$A$501,C364)&lt;&gt;1,"Check lot ID",IF(OR(A364="",B364="",E364="",F364=""),"Complete required fields",IF(COUNTIF($B$2:$B$501,B364)&gt;1,"Duplicate sale ID",IF(AND(D364&lt;&gt;"",COUNTIF(Clients!$A$2:$A$501,D364)&lt;&gt;1),"Check client ID",IF(VLOOKUP(C364,Inventory!$A$2:$L$501,12,FALSE)&lt;0,"OVER SOLD","OK"))))))</f>
        <v/>
      </c>
    </row>
    <row r="365" ht="23" customHeight="1">
      <c r="A365" s="18" t="n"/>
      <c r="B365" s="14" t="n"/>
      <c r="C365" s="14" t="n"/>
      <c r="D365" s="14" t="n"/>
      <c r="E365" s="15" t="n"/>
      <c r="F365" s="16" t="n"/>
      <c r="G365" s="13">
        <f>IF(C365="","",ROUND(E365*F365,2))</f>
        <v/>
      </c>
      <c r="H365" s="13">
        <f>IF(C365="","",IFERROR(VLOOKUP(C365,Inventory!$A$2:$J$501,9,FALSE),0))</f>
        <v/>
      </c>
      <c r="I365" s="13">
        <f>IF(C365="","",ROUND(E365*H365,2))</f>
        <v/>
      </c>
      <c r="J365" s="16" t="n"/>
      <c r="K365" s="16" t="n"/>
      <c r="L365" s="13">
        <f>IF(C365="","",ROUND(G365-I365-J365-K365,2))</f>
        <v/>
      </c>
      <c r="M365" s="15" t="n"/>
      <c r="N365" s="15" t="n"/>
      <c r="O365" s="12">
        <f>IF(C365="","",IFERROR(VLOOKUP(C365,Inventory!$A$2:$B$501,2,FALSE),"Unknown lot"))</f>
        <v/>
      </c>
      <c r="P365" s="12">
        <f>IF(D365="","",IFERROR(VLOOKUP(D365,Clients!$A$2:$B$501,2,FALSE),"Unknown client"))</f>
        <v/>
      </c>
      <c r="Q365" s="12">
        <f>IF(C365="","",IF(COUNTIF(Inventory!$A$2:$A$501,C365)&lt;&gt;1,"Check lot ID",IF(OR(A365="",B365="",E365="",F365=""),"Complete required fields",IF(COUNTIF($B$2:$B$501,B365)&gt;1,"Duplicate sale ID",IF(AND(D365&lt;&gt;"",COUNTIF(Clients!$A$2:$A$501,D365)&lt;&gt;1),"Check client ID",IF(VLOOKUP(C365,Inventory!$A$2:$L$501,12,FALSE)&lt;0,"OVER SOLD","OK"))))))</f>
        <v/>
      </c>
    </row>
    <row r="366" ht="23" customHeight="1">
      <c r="A366" s="17" t="n"/>
      <c r="B366" s="9" t="n"/>
      <c r="C366" s="9" t="n"/>
      <c r="D366" s="9" t="n"/>
      <c r="E366" s="10" t="n"/>
      <c r="F366" s="11" t="n"/>
      <c r="G366" s="13">
        <f>IF(C366="","",ROUND(E366*F366,2))</f>
        <v/>
      </c>
      <c r="H366" s="13">
        <f>IF(C366="","",IFERROR(VLOOKUP(C366,Inventory!$A$2:$J$501,9,FALSE),0))</f>
        <v/>
      </c>
      <c r="I366" s="13">
        <f>IF(C366="","",ROUND(E366*H366,2))</f>
        <v/>
      </c>
      <c r="J366" s="11" t="n"/>
      <c r="K366" s="11" t="n"/>
      <c r="L366" s="13">
        <f>IF(C366="","",ROUND(G366-I366-J366-K366,2))</f>
        <v/>
      </c>
      <c r="M366" s="10" t="n"/>
      <c r="N366" s="10" t="n"/>
      <c r="O366" s="12">
        <f>IF(C366="","",IFERROR(VLOOKUP(C366,Inventory!$A$2:$B$501,2,FALSE),"Unknown lot"))</f>
        <v/>
      </c>
      <c r="P366" s="12">
        <f>IF(D366="","",IFERROR(VLOOKUP(D366,Clients!$A$2:$B$501,2,FALSE),"Unknown client"))</f>
        <v/>
      </c>
      <c r="Q366" s="12">
        <f>IF(C366="","",IF(COUNTIF(Inventory!$A$2:$A$501,C366)&lt;&gt;1,"Check lot ID",IF(OR(A366="",B366="",E366="",F366=""),"Complete required fields",IF(COUNTIF($B$2:$B$501,B366)&gt;1,"Duplicate sale ID",IF(AND(D366&lt;&gt;"",COUNTIF(Clients!$A$2:$A$501,D366)&lt;&gt;1),"Check client ID",IF(VLOOKUP(C366,Inventory!$A$2:$L$501,12,FALSE)&lt;0,"OVER SOLD","OK"))))))</f>
        <v/>
      </c>
    </row>
    <row r="367" ht="23" customHeight="1">
      <c r="A367" s="18" t="n"/>
      <c r="B367" s="14" t="n"/>
      <c r="C367" s="14" t="n"/>
      <c r="D367" s="14" t="n"/>
      <c r="E367" s="15" t="n"/>
      <c r="F367" s="16" t="n"/>
      <c r="G367" s="13">
        <f>IF(C367="","",ROUND(E367*F367,2))</f>
        <v/>
      </c>
      <c r="H367" s="13">
        <f>IF(C367="","",IFERROR(VLOOKUP(C367,Inventory!$A$2:$J$501,9,FALSE),0))</f>
        <v/>
      </c>
      <c r="I367" s="13">
        <f>IF(C367="","",ROUND(E367*H367,2))</f>
        <v/>
      </c>
      <c r="J367" s="16" t="n"/>
      <c r="K367" s="16" t="n"/>
      <c r="L367" s="13">
        <f>IF(C367="","",ROUND(G367-I367-J367-K367,2))</f>
        <v/>
      </c>
      <c r="M367" s="15" t="n"/>
      <c r="N367" s="15" t="n"/>
      <c r="O367" s="12">
        <f>IF(C367="","",IFERROR(VLOOKUP(C367,Inventory!$A$2:$B$501,2,FALSE),"Unknown lot"))</f>
        <v/>
      </c>
      <c r="P367" s="12">
        <f>IF(D367="","",IFERROR(VLOOKUP(D367,Clients!$A$2:$B$501,2,FALSE),"Unknown client"))</f>
        <v/>
      </c>
      <c r="Q367" s="12">
        <f>IF(C367="","",IF(COUNTIF(Inventory!$A$2:$A$501,C367)&lt;&gt;1,"Check lot ID",IF(OR(A367="",B367="",E367="",F367=""),"Complete required fields",IF(COUNTIF($B$2:$B$501,B367)&gt;1,"Duplicate sale ID",IF(AND(D367&lt;&gt;"",COUNTIF(Clients!$A$2:$A$501,D367)&lt;&gt;1),"Check client ID",IF(VLOOKUP(C367,Inventory!$A$2:$L$501,12,FALSE)&lt;0,"OVER SOLD","OK"))))))</f>
        <v/>
      </c>
    </row>
    <row r="368" ht="23" customHeight="1">
      <c r="A368" s="17" t="n"/>
      <c r="B368" s="9" t="n"/>
      <c r="C368" s="9" t="n"/>
      <c r="D368" s="9" t="n"/>
      <c r="E368" s="10" t="n"/>
      <c r="F368" s="11" t="n"/>
      <c r="G368" s="13">
        <f>IF(C368="","",ROUND(E368*F368,2))</f>
        <v/>
      </c>
      <c r="H368" s="13">
        <f>IF(C368="","",IFERROR(VLOOKUP(C368,Inventory!$A$2:$J$501,9,FALSE),0))</f>
        <v/>
      </c>
      <c r="I368" s="13">
        <f>IF(C368="","",ROUND(E368*H368,2))</f>
        <v/>
      </c>
      <c r="J368" s="11" t="n"/>
      <c r="K368" s="11" t="n"/>
      <c r="L368" s="13">
        <f>IF(C368="","",ROUND(G368-I368-J368-K368,2))</f>
        <v/>
      </c>
      <c r="M368" s="10" t="n"/>
      <c r="N368" s="10" t="n"/>
      <c r="O368" s="12">
        <f>IF(C368="","",IFERROR(VLOOKUP(C368,Inventory!$A$2:$B$501,2,FALSE),"Unknown lot"))</f>
        <v/>
      </c>
      <c r="P368" s="12">
        <f>IF(D368="","",IFERROR(VLOOKUP(D368,Clients!$A$2:$B$501,2,FALSE),"Unknown client"))</f>
        <v/>
      </c>
      <c r="Q368" s="12">
        <f>IF(C368="","",IF(COUNTIF(Inventory!$A$2:$A$501,C368)&lt;&gt;1,"Check lot ID",IF(OR(A368="",B368="",E368="",F368=""),"Complete required fields",IF(COUNTIF($B$2:$B$501,B368)&gt;1,"Duplicate sale ID",IF(AND(D368&lt;&gt;"",COUNTIF(Clients!$A$2:$A$501,D368)&lt;&gt;1),"Check client ID",IF(VLOOKUP(C368,Inventory!$A$2:$L$501,12,FALSE)&lt;0,"OVER SOLD","OK"))))))</f>
        <v/>
      </c>
    </row>
    <row r="369" ht="23" customHeight="1">
      <c r="A369" s="18" t="n"/>
      <c r="B369" s="14" t="n"/>
      <c r="C369" s="14" t="n"/>
      <c r="D369" s="14" t="n"/>
      <c r="E369" s="15" t="n"/>
      <c r="F369" s="16" t="n"/>
      <c r="G369" s="13">
        <f>IF(C369="","",ROUND(E369*F369,2))</f>
        <v/>
      </c>
      <c r="H369" s="13">
        <f>IF(C369="","",IFERROR(VLOOKUP(C369,Inventory!$A$2:$J$501,9,FALSE),0))</f>
        <v/>
      </c>
      <c r="I369" s="13">
        <f>IF(C369="","",ROUND(E369*H369,2))</f>
        <v/>
      </c>
      <c r="J369" s="16" t="n"/>
      <c r="K369" s="16" t="n"/>
      <c r="L369" s="13">
        <f>IF(C369="","",ROUND(G369-I369-J369-K369,2))</f>
        <v/>
      </c>
      <c r="M369" s="15" t="n"/>
      <c r="N369" s="15" t="n"/>
      <c r="O369" s="12">
        <f>IF(C369="","",IFERROR(VLOOKUP(C369,Inventory!$A$2:$B$501,2,FALSE),"Unknown lot"))</f>
        <v/>
      </c>
      <c r="P369" s="12">
        <f>IF(D369="","",IFERROR(VLOOKUP(D369,Clients!$A$2:$B$501,2,FALSE),"Unknown client"))</f>
        <v/>
      </c>
      <c r="Q369" s="12">
        <f>IF(C369="","",IF(COUNTIF(Inventory!$A$2:$A$501,C369)&lt;&gt;1,"Check lot ID",IF(OR(A369="",B369="",E369="",F369=""),"Complete required fields",IF(COUNTIF($B$2:$B$501,B369)&gt;1,"Duplicate sale ID",IF(AND(D369&lt;&gt;"",COUNTIF(Clients!$A$2:$A$501,D369)&lt;&gt;1),"Check client ID",IF(VLOOKUP(C369,Inventory!$A$2:$L$501,12,FALSE)&lt;0,"OVER SOLD","OK"))))))</f>
        <v/>
      </c>
    </row>
    <row r="370" ht="23" customHeight="1">
      <c r="A370" s="17" t="n"/>
      <c r="B370" s="9" t="n"/>
      <c r="C370" s="9" t="n"/>
      <c r="D370" s="9" t="n"/>
      <c r="E370" s="10" t="n"/>
      <c r="F370" s="11" t="n"/>
      <c r="G370" s="13">
        <f>IF(C370="","",ROUND(E370*F370,2))</f>
        <v/>
      </c>
      <c r="H370" s="13">
        <f>IF(C370="","",IFERROR(VLOOKUP(C370,Inventory!$A$2:$J$501,9,FALSE),0))</f>
        <v/>
      </c>
      <c r="I370" s="13">
        <f>IF(C370="","",ROUND(E370*H370,2))</f>
        <v/>
      </c>
      <c r="J370" s="11" t="n"/>
      <c r="K370" s="11" t="n"/>
      <c r="L370" s="13">
        <f>IF(C370="","",ROUND(G370-I370-J370-K370,2))</f>
        <v/>
      </c>
      <c r="M370" s="10" t="n"/>
      <c r="N370" s="10" t="n"/>
      <c r="O370" s="12">
        <f>IF(C370="","",IFERROR(VLOOKUP(C370,Inventory!$A$2:$B$501,2,FALSE),"Unknown lot"))</f>
        <v/>
      </c>
      <c r="P370" s="12">
        <f>IF(D370="","",IFERROR(VLOOKUP(D370,Clients!$A$2:$B$501,2,FALSE),"Unknown client"))</f>
        <v/>
      </c>
      <c r="Q370" s="12">
        <f>IF(C370="","",IF(COUNTIF(Inventory!$A$2:$A$501,C370)&lt;&gt;1,"Check lot ID",IF(OR(A370="",B370="",E370="",F370=""),"Complete required fields",IF(COUNTIF($B$2:$B$501,B370)&gt;1,"Duplicate sale ID",IF(AND(D370&lt;&gt;"",COUNTIF(Clients!$A$2:$A$501,D370)&lt;&gt;1),"Check client ID",IF(VLOOKUP(C370,Inventory!$A$2:$L$501,12,FALSE)&lt;0,"OVER SOLD","OK"))))))</f>
        <v/>
      </c>
    </row>
    <row r="371" ht="23" customHeight="1">
      <c r="A371" s="18" t="n"/>
      <c r="B371" s="14" t="n"/>
      <c r="C371" s="14" t="n"/>
      <c r="D371" s="14" t="n"/>
      <c r="E371" s="15" t="n"/>
      <c r="F371" s="16" t="n"/>
      <c r="G371" s="13">
        <f>IF(C371="","",ROUND(E371*F371,2))</f>
        <v/>
      </c>
      <c r="H371" s="13">
        <f>IF(C371="","",IFERROR(VLOOKUP(C371,Inventory!$A$2:$J$501,9,FALSE),0))</f>
        <v/>
      </c>
      <c r="I371" s="13">
        <f>IF(C371="","",ROUND(E371*H371,2))</f>
        <v/>
      </c>
      <c r="J371" s="16" t="n"/>
      <c r="K371" s="16" t="n"/>
      <c r="L371" s="13">
        <f>IF(C371="","",ROUND(G371-I371-J371-K371,2))</f>
        <v/>
      </c>
      <c r="M371" s="15" t="n"/>
      <c r="N371" s="15" t="n"/>
      <c r="O371" s="12">
        <f>IF(C371="","",IFERROR(VLOOKUP(C371,Inventory!$A$2:$B$501,2,FALSE),"Unknown lot"))</f>
        <v/>
      </c>
      <c r="P371" s="12">
        <f>IF(D371="","",IFERROR(VLOOKUP(D371,Clients!$A$2:$B$501,2,FALSE),"Unknown client"))</f>
        <v/>
      </c>
      <c r="Q371" s="12">
        <f>IF(C371="","",IF(COUNTIF(Inventory!$A$2:$A$501,C371)&lt;&gt;1,"Check lot ID",IF(OR(A371="",B371="",E371="",F371=""),"Complete required fields",IF(COUNTIF($B$2:$B$501,B371)&gt;1,"Duplicate sale ID",IF(AND(D371&lt;&gt;"",COUNTIF(Clients!$A$2:$A$501,D371)&lt;&gt;1),"Check client ID",IF(VLOOKUP(C371,Inventory!$A$2:$L$501,12,FALSE)&lt;0,"OVER SOLD","OK"))))))</f>
        <v/>
      </c>
    </row>
    <row r="372" ht="23" customHeight="1">
      <c r="A372" s="17" t="n"/>
      <c r="B372" s="9" t="n"/>
      <c r="C372" s="9" t="n"/>
      <c r="D372" s="9" t="n"/>
      <c r="E372" s="10" t="n"/>
      <c r="F372" s="11" t="n"/>
      <c r="G372" s="13">
        <f>IF(C372="","",ROUND(E372*F372,2))</f>
        <v/>
      </c>
      <c r="H372" s="13">
        <f>IF(C372="","",IFERROR(VLOOKUP(C372,Inventory!$A$2:$J$501,9,FALSE),0))</f>
        <v/>
      </c>
      <c r="I372" s="13">
        <f>IF(C372="","",ROUND(E372*H372,2))</f>
        <v/>
      </c>
      <c r="J372" s="11" t="n"/>
      <c r="K372" s="11" t="n"/>
      <c r="L372" s="13">
        <f>IF(C372="","",ROUND(G372-I372-J372-K372,2))</f>
        <v/>
      </c>
      <c r="M372" s="10" t="n"/>
      <c r="N372" s="10" t="n"/>
      <c r="O372" s="12">
        <f>IF(C372="","",IFERROR(VLOOKUP(C372,Inventory!$A$2:$B$501,2,FALSE),"Unknown lot"))</f>
        <v/>
      </c>
      <c r="P372" s="12">
        <f>IF(D372="","",IFERROR(VLOOKUP(D372,Clients!$A$2:$B$501,2,FALSE),"Unknown client"))</f>
        <v/>
      </c>
      <c r="Q372" s="12">
        <f>IF(C372="","",IF(COUNTIF(Inventory!$A$2:$A$501,C372)&lt;&gt;1,"Check lot ID",IF(OR(A372="",B372="",E372="",F372=""),"Complete required fields",IF(COUNTIF($B$2:$B$501,B372)&gt;1,"Duplicate sale ID",IF(AND(D372&lt;&gt;"",COUNTIF(Clients!$A$2:$A$501,D372)&lt;&gt;1),"Check client ID",IF(VLOOKUP(C372,Inventory!$A$2:$L$501,12,FALSE)&lt;0,"OVER SOLD","OK"))))))</f>
        <v/>
      </c>
    </row>
    <row r="373" ht="23" customHeight="1">
      <c r="A373" s="18" t="n"/>
      <c r="B373" s="14" t="n"/>
      <c r="C373" s="14" t="n"/>
      <c r="D373" s="14" t="n"/>
      <c r="E373" s="15" t="n"/>
      <c r="F373" s="16" t="n"/>
      <c r="G373" s="13">
        <f>IF(C373="","",ROUND(E373*F373,2))</f>
        <v/>
      </c>
      <c r="H373" s="13">
        <f>IF(C373="","",IFERROR(VLOOKUP(C373,Inventory!$A$2:$J$501,9,FALSE),0))</f>
        <v/>
      </c>
      <c r="I373" s="13">
        <f>IF(C373="","",ROUND(E373*H373,2))</f>
        <v/>
      </c>
      <c r="J373" s="16" t="n"/>
      <c r="K373" s="16" t="n"/>
      <c r="L373" s="13">
        <f>IF(C373="","",ROUND(G373-I373-J373-K373,2))</f>
        <v/>
      </c>
      <c r="M373" s="15" t="n"/>
      <c r="N373" s="15" t="n"/>
      <c r="O373" s="12">
        <f>IF(C373="","",IFERROR(VLOOKUP(C373,Inventory!$A$2:$B$501,2,FALSE),"Unknown lot"))</f>
        <v/>
      </c>
      <c r="P373" s="12">
        <f>IF(D373="","",IFERROR(VLOOKUP(D373,Clients!$A$2:$B$501,2,FALSE),"Unknown client"))</f>
        <v/>
      </c>
      <c r="Q373" s="12">
        <f>IF(C373="","",IF(COUNTIF(Inventory!$A$2:$A$501,C373)&lt;&gt;1,"Check lot ID",IF(OR(A373="",B373="",E373="",F373=""),"Complete required fields",IF(COUNTIF($B$2:$B$501,B373)&gt;1,"Duplicate sale ID",IF(AND(D373&lt;&gt;"",COUNTIF(Clients!$A$2:$A$501,D373)&lt;&gt;1),"Check client ID",IF(VLOOKUP(C373,Inventory!$A$2:$L$501,12,FALSE)&lt;0,"OVER SOLD","OK"))))))</f>
        <v/>
      </c>
    </row>
    <row r="374" ht="23" customHeight="1">
      <c r="A374" s="17" t="n"/>
      <c r="B374" s="9" t="n"/>
      <c r="C374" s="9" t="n"/>
      <c r="D374" s="9" t="n"/>
      <c r="E374" s="10" t="n"/>
      <c r="F374" s="11" t="n"/>
      <c r="G374" s="13">
        <f>IF(C374="","",ROUND(E374*F374,2))</f>
        <v/>
      </c>
      <c r="H374" s="13">
        <f>IF(C374="","",IFERROR(VLOOKUP(C374,Inventory!$A$2:$J$501,9,FALSE),0))</f>
        <v/>
      </c>
      <c r="I374" s="13">
        <f>IF(C374="","",ROUND(E374*H374,2))</f>
        <v/>
      </c>
      <c r="J374" s="11" t="n"/>
      <c r="K374" s="11" t="n"/>
      <c r="L374" s="13">
        <f>IF(C374="","",ROUND(G374-I374-J374-K374,2))</f>
        <v/>
      </c>
      <c r="M374" s="10" t="n"/>
      <c r="N374" s="10" t="n"/>
      <c r="O374" s="12">
        <f>IF(C374="","",IFERROR(VLOOKUP(C374,Inventory!$A$2:$B$501,2,FALSE),"Unknown lot"))</f>
        <v/>
      </c>
      <c r="P374" s="12">
        <f>IF(D374="","",IFERROR(VLOOKUP(D374,Clients!$A$2:$B$501,2,FALSE),"Unknown client"))</f>
        <v/>
      </c>
      <c r="Q374" s="12">
        <f>IF(C374="","",IF(COUNTIF(Inventory!$A$2:$A$501,C374)&lt;&gt;1,"Check lot ID",IF(OR(A374="",B374="",E374="",F374=""),"Complete required fields",IF(COUNTIF($B$2:$B$501,B374)&gt;1,"Duplicate sale ID",IF(AND(D374&lt;&gt;"",COUNTIF(Clients!$A$2:$A$501,D374)&lt;&gt;1),"Check client ID",IF(VLOOKUP(C374,Inventory!$A$2:$L$501,12,FALSE)&lt;0,"OVER SOLD","OK"))))))</f>
        <v/>
      </c>
    </row>
    <row r="375" ht="23" customHeight="1">
      <c r="A375" s="18" t="n"/>
      <c r="B375" s="14" t="n"/>
      <c r="C375" s="14" t="n"/>
      <c r="D375" s="14" t="n"/>
      <c r="E375" s="15" t="n"/>
      <c r="F375" s="16" t="n"/>
      <c r="G375" s="13">
        <f>IF(C375="","",ROUND(E375*F375,2))</f>
        <v/>
      </c>
      <c r="H375" s="13">
        <f>IF(C375="","",IFERROR(VLOOKUP(C375,Inventory!$A$2:$J$501,9,FALSE),0))</f>
        <v/>
      </c>
      <c r="I375" s="13">
        <f>IF(C375="","",ROUND(E375*H375,2))</f>
        <v/>
      </c>
      <c r="J375" s="16" t="n"/>
      <c r="K375" s="16" t="n"/>
      <c r="L375" s="13">
        <f>IF(C375="","",ROUND(G375-I375-J375-K375,2))</f>
        <v/>
      </c>
      <c r="M375" s="15" t="n"/>
      <c r="N375" s="15" t="n"/>
      <c r="O375" s="12">
        <f>IF(C375="","",IFERROR(VLOOKUP(C375,Inventory!$A$2:$B$501,2,FALSE),"Unknown lot"))</f>
        <v/>
      </c>
      <c r="P375" s="12">
        <f>IF(D375="","",IFERROR(VLOOKUP(D375,Clients!$A$2:$B$501,2,FALSE),"Unknown client"))</f>
        <v/>
      </c>
      <c r="Q375" s="12">
        <f>IF(C375="","",IF(COUNTIF(Inventory!$A$2:$A$501,C375)&lt;&gt;1,"Check lot ID",IF(OR(A375="",B375="",E375="",F375=""),"Complete required fields",IF(COUNTIF($B$2:$B$501,B375)&gt;1,"Duplicate sale ID",IF(AND(D375&lt;&gt;"",COUNTIF(Clients!$A$2:$A$501,D375)&lt;&gt;1),"Check client ID",IF(VLOOKUP(C375,Inventory!$A$2:$L$501,12,FALSE)&lt;0,"OVER SOLD","OK"))))))</f>
        <v/>
      </c>
    </row>
    <row r="376" ht="23" customHeight="1">
      <c r="A376" s="17" t="n"/>
      <c r="B376" s="9" t="n"/>
      <c r="C376" s="9" t="n"/>
      <c r="D376" s="9" t="n"/>
      <c r="E376" s="10" t="n"/>
      <c r="F376" s="11" t="n"/>
      <c r="G376" s="13">
        <f>IF(C376="","",ROUND(E376*F376,2))</f>
        <v/>
      </c>
      <c r="H376" s="13">
        <f>IF(C376="","",IFERROR(VLOOKUP(C376,Inventory!$A$2:$J$501,9,FALSE),0))</f>
        <v/>
      </c>
      <c r="I376" s="13">
        <f>IF(C376="","",ROUND(E376*H376,2))</f>
        <v/>
      </c>
      <c r="J376" s="11" t="n"/>
      <c r="K376" s="11" t="n"/>
      <c r="L376" s="13">
        <f>IF(C376="","",ROUND(G376-I376-J376-K376,2))</f>
        <v/>
      </c>
      <c r="M376" s="10" t="n"/>
      <c r="N376" s="10" t="n"/>
      <c r="O376" s="12">
        <f>IF(C376="","",IFERROR(VLOOKUP(C376,Inventory!$A$2:$B$501,2,FALSE),"Unknown lot"))</f>
        <v/>
      </c>
      <c r="P376" s="12">
        <f>IF(D376="","",IFERROR(VLOOKUP(D376,Clients!$A$2:$B$501,2,FALSE),"Unknown client"))</f>
        <v/>
      </c>
      <c r="Q376" s="12">
        <f>IF(C376="","",IF(COUNTIF(Inventory!$A$2:$A$501,C376)&lt;&gt;1,"Check lot ID",IF(OR(A376="",B376="",E376="",F376=""),"Complete required fields",IF(COUNTIF($B$2:$B$501,B376)&gt;1,"Duplicate sale ID",IF(AND(D376&lt;&gt;"",COUNTIF(Clients!$A$2:$A$501,D376)&lt;&gt;1),"Check client ID",IF(VLOOKUP(C376,Inventory!$A$2:$L$501,12,FALSE)&lt;0,"OVER SOLD","OK"))))))</f>
        <v/>
      </c>
    </row>
    <row r="377" ht="23" customHeight="1">
      <c r="A377" s="18" t="n"/>
      <c r="B377" s="14" t="n"/>
      <c r="C377" s="14" t="n"/>
      <c r="D377" s="14" t="n"/>
      <c r="E377" s="15" t="n"/>
      <c r="F377" s="16" t="n"/>
      <c r="G377" s="13">
        <f>IF(C377="","",ROUND(E377*F377,2))</f>
        <v/>
      </c>
      <c r="H377" s="13">
        <f>IF(C377="","",IFERROR(VLOOKUP(C377,Inventory!$A$2:$J$501,9,FALSE),0))</f>
        <v/>
      </c>
      <c r="I377" s="13">
        <f>IF(C377="","",ROUND(E377*H377,2))</f>
        <v/>
      </c>
      <c r="J377" s="16" t="n"/>
      <c r="K377" s="16" t="n"/>
      <c r="L377" s="13">
        <f>IF(C377="","",ROUND(G377-I377-J377-K377,2))</f>
        <v/>
      </c>
      <c r="M377" s="15" t="n"/>
      <c r="N377" s="15" t="n"/>
      <c r="O377" s="12">
        <f>IF(C377="","",IFERROR(VLOOKUP(C377,Inventory!$A$2:$B$501,2,FALSE),"Unknown lot"))</f>
        <v/>
      </c>
      <c r="P377" s="12">
        <f>IF(D377="","",IFERROR(VLOOKUP(D377,Clients!$A$2:$B$501,2,FALSE),"Unknown client"))</f>
        <v/>
      </c>
      <c r="Q377" s="12">
        <f>IF(C377="","",IF(COUNTIF(Inventory!$A$2:$A$501,C377)&lt;&gt;1,"Check lot ID",IF(OR(A377="",B377="",E377="",F377=""),"Complete required fields",IF(COUNTIF($B$2:$B$501,B377)&gt;1,"Duplicate sale ID",IF(AND(D377&lt;&gt;"",COUNTIF(Clients!$A$2:$A$501,D377)&lt;&gt;1),"Check client ID",IF(VLOOKUP(C377,Inventory!$A$2:$L$501,12,FALSE)&lt;0,"OVER SOLD","OK"))))))</f>
        <v/>
      </c>
    </row>
    <row r="378" ht="23" customHeight="1">
      <c r="A378" s="17" t="n"/>
      <c r="B378" s="9" t="n"/>
      <c r="C378" s="9" t="n"/>
      <c r="D378" s="9" t="n"/>
      <c r="E378" s="10" t="n"/>
      <c r="F378" s="11" t="n"/>
      <c r="G378" s="13">
        <f>IF(C378="","",ROUND(E378*F378,2))</f>
        <v/>
      </c>
      <c r="H378" s="13">
        <f>IF(C378="","",IFERROR(VLOOKUP(C378,Inventory!$A$2:$J$501,9,FALSE),0))</f>
        <v/>
      </c>
      <c r="I378" s="13">
        <f>IF(C378="","",ROUND(E378*H378,2))</f>
        <v/>
      </c>
      <c r="J378" s="11" t="n"/>
      <c r="K378" s="11" t="n"/>
      <c r="L378" s="13">
        <f>IF(C378="","",ROUND(G378-I378-J378-K378,2))</f>
        <v/>
      </c>
      <c r="M378" s="10" t="n"/>
      <c r="N378" s="10" t="n"/>
      <c r="O378" s="12">
        <f>IF(C378="","",IFERROR(VLOOKUP(C378,Inventory!$A$2:$B$501,2,FALSE),"Unknown lot"))</f>
        <v/>
      </c>
      <c r="P378" s="12">
        <f>IF(D378="","",IFERROR(VLOOKUP(D378,Clients!$A$2:$B$501,2,FALSE),"Unknown client"))</f>
        <v/>
      </c>
      <c r="Q378" s="12">
        <f>IF(C378="","",IF(COUNTIF(Inventory!$A$2:$A$501,C378)&lt;&gt;1,"Check lot ID",IF(OR(A378="",B378="",E378="",F378=""),"Complete required fields",IF(COUNTIF($B$2:$B$501,B378)&gt;1,"Duplicate sale ID",IF(AND(D378&lt;&gt;"",COUNTIF(Clients!$A$2:$A$501,D378)&lt;&gt;1),"Check client ID",IF(VLOOKUP(C378,Inventory!$A$2:$L$501,12,FALSE)&lt;0,"OVER SOLD","OK"))))))</f>
        <v/>
      </c>
    </row>
    <row r="379" ht="23" customHeight="1">
      <c r="A379" s="18" t="n"/>
      <c r="B379" s="14" t="n"/>
      <c r="C379" s="14" t="n"/>
      <c r="D379" s="14" t="n"/>
      <c r="E379" s="15" t="n"/>
      <c r="F379" s="16" t="n"/>
      <c r="G379" s="13">
        <f>IF(C379="","",ROUND(E379*F379,2))</f>
        <v/>
      </c>
      <c r="H379" s="13">
        <f>IF(C379="","",IFERROR(VLOOKUP(C379,Inventory!$A$2:$J$501,9,FALSE),0))</f>
        <v/>
      </c>
      <c r="I379" s="13">
        <f>IF(C379="","",ROUND(E379*H379,2))</f>
        <v/>
      </c>
      <c r="J379" s="16" t="n"/>
      <c r="K379" s="16" t="n"/>
      <c r="L379" s="13">
        <f>IF(C379="","",ROUND(G379-I379-J379-K379,2))</f>
        <v/>
      </c>
      <c r="M379" s="15" t="n"/>
      <c r="N379" s="15" t="n"/>
      <c r="O379" s="12">
        <f>IF(C379="","",IFERROR(VLOOKUP(C379,Inventory!$A$2:$B$501,2,FALSE),"Unknown lot"))</f>
        <v/>
      </c>
      <c r="P379" s="12">
        <f>IF(D379="","",IFERROR(VLOOKUP(D379,Clients!$A$2:$B$501,2,FALSE),"Unknown client"))</f>
        <v/>
      </c>
      <c r="Q379" s="12">
        <f>IF(C379="","",IF(COUNTIF(Inventory!$A$2:$A$501,C379)&lt;&gt;1,"Check lot ID",IF(OR(A379="",B379="",E379="",F379=""),"Complete required fields",IF(COUNTIF($B$2:$B$501,B379)&gt;1,"Duplicate sale ID",IF(AND(D379&lt;&gt;"",COUNTIF(Clients!$A$2:$A$501,D379)&lt;&gt;1),"Check client ID",IF(VLOOKUP(C379,Inventory!$A$2:$L$501,12,FALSE)&lt;0,"OVER SOLD","OK"))))))</f>
        <v/>
      </c>
    </row>
    <row r="380" ht="23" customHeight="1">
      <c r="A380" s="17" t="n"/>
      <c r="B380" s="9" t="n"/>
      <c r="C380" s="9" t="n"/>
      <c r="D380" s="9" t="n"/>
      <c r="E380" s="10" t="n"/>
      <c r="F380" s="11" t="n"/>
      <c r="G380" s="13">
        <f>IF(C380="","",ROUND(E380*F380,2))</f>
        <v/>
      </c>
      <c r="H380" s="13">
        <f>IF(C380="","",IFERROR(VLOOKUP(C380,Inventory!$A$2:$J$501,9,FALSE),0))</f>
        <v/>
      </c>
      <c r="I380" s="13">
        <f>IF(C380="","",ROUND(E380*H380,2))</f>
        <v/>
      </c>
      <c r="J380" s="11" t="n"/>
      <c r="K380" s="11" t="n"/>
      <c r="L380" s="13">
        <f>IF(C380="","",ROUND(G380-I380-J380-K380,2))</f>
        <v/>
      </c>
      <c r="M380" s="10" t="n"/>
      <c r="N380" s="10" t="n"/>
      <c r="O380" s="12">
        <f>IF(C380="","",IFERROR(VLOOKUP(C380,Inventory!$A$2:$B$501,2,FALSE),"Unknown lot"))</f>
        <v/>
      </c>
      <c r="P380" s="12">
        <f>IF(D380="","",IFERROR(VLOOKUP(D380,Clients!$A$2:$B$501,2,FALSE),"Unknown client"))</f>
        <v/>
      </c>
      <c r="Q380" s="12">
        <f>IF(C380="","",IF(COUNTIF(Inventory!$A$2:$A$501,C380)&lt;&gt;1,"Check lot ID",IF(OR(A380="",B380="",E380="",F380=""),"Complete required fields",IF(COUNTIF($B$2:$B$501,B380)&gt;1,"Duplicate sale ID",IF(AND(D380&lt;&gt;"",COUNTIF(Clients!$A$2:$A$501,D380)&lt;&gt;1),"Check client ID",IF(VLOOKUP(C380,Inventory!$A$2:$L$501,12,FALSE)&lt;0,"OVER SOLD","OK"))))))</f>
        <v/>
      </c>
    </row>
    <row r="381" ht="23" customHeight="1">
      <c r="A381" s="18" t="n"/>
      <c r="B381" s="14" t="n"/>
      <c r="C381" s="14" t="n"/>
      <c r="D381" s="14" t="n"/>
      <c r="E381" s="15" t="n"/>
      <c r="F381" s="16" t="n"/>
      <c r="G381" s="13">
        <f>IF(C381="","",ROUND(E381*F381,2))</f>
        <v/>
      </c>
      <c r="H381" s="13">
        <f>IF(C381="","",IFERROR(VLOOKUP(C381,Inventory!$A$2:$J$501,9,FALSE),0))</f>
        <v/>
      </c>
      <c r="I381" s="13">
        <f>IF(C381="","",ROUND(E381*H381,2))</f>
        <v/>
      </c>
      <c r="J381" s="16" t="n"/>
      <c r="K381" s="16" t="n"/>
      <c r="L381" s="13">
        <f>IF(C381="","",ROUND(G381-I381-J381-K381,2))</f>
        <v/>
      </c>
      <c r="M381" s="15" t="n"/>
      <c r="N381" s="15" t="n"/>
      <c r="O381" s="12">
        <f>IF(C381="","",IFERROR(VLOOKUP(C381,Inventory!$A$2:$B$501,2,FALSE),"Unknown lot"))</f>
        <v/>
      </c>
      <c r="P381" s="12">
        <f>IF(D381="","",IFERROR(VLOOKUP(D381,Clients!$A$2:$B$501,2,FALSE),"Unknown client"))</f>
        <v/>
      </c>
      <c r="Q381" s="12">
        <f>IF(C381="","",IF(COUNTIF(Inventory!$A$2:$A$501,C381)&lt;&gt;1,"Check lot ID",IF(OR(A381="",B381="",E381="",F381=""),"Complete required fields",IF(COUNTIF($B$2:$B$501,B381)&gt;1,"Duplicate sale ID",IF(AND(D381&lt;&gt;"",COUNTIF(Clients!$A$2:$A$501,D381)&lt;&gt;1),"Check client ID",IF(VLOOKUP(C381,Inventory!$A$2:$L$501,12,FALSE)&lt;0,"OVER SOLD","OK"))))))</f>
        <v/>
      </c>
    </row>
    <row r="382" ht="23" customHeight="1">
      <c r="A382" s="17" t="n"/>
      <c r="B382" s="9" t="n"/>
      <c r="C382" s="9" t="n"/>
      <c r="D382" s="9" t="n"/>
      <c r="E382" s="10" t="n"/>
      <c r="F382" s="11" t="n"/>
      <c r="G382" s="13">
        <f>IF(C382="","",ROUND(E382*F382,2))</f>
        <v/>
      </c>
      <c r="H382" s="13">
        <f>IF(C382="","",IFERROR(VLOOKUP(C382,Inventory!$A$2:$J$501,9,FALSE),0))</f>
        <v/>
      </c>
      <c r="I382" s="13">
        <f>IF(C382="","",ROUND(E382*H382,2))</f>
        <v/>
      </c>
      <c r="J382" s="11" t="n"/>
      <c r="K382" s="11" t="n"/>
      <c r="L382" s="13">
        <f>IF(C382="","",ROUND(G382-I382-J382-K382,2))</f>
        <v/>
      </c>
      <c r="M382" s="10" t="n"/>
      <c r="N382" s="10" t="n"/>
      <c r="O382" s="12">
        <f>IF(C382="","",IFERROR(VLOOKUP(C382,Inventory!$A$2:$B$501,2,FALSE),"Unknown lot"))</f>
        <v/>
      </c>
      <c r="P382" s="12">
        <f>IF(D382="","",IFERROR(VLOOKUP(D382,Clients!$A$2:$B$501,2,FALSE),"Unknown client"))</f>
        <v/>
      </c>
      <c r="Q382" s="12">
        <f>IF(C382="","",IF(COUNTIF(Inventory!$A$2:$A$501,C382)&lt;&gt;1,"Check lot ID",IF(OR(A382="",B382="",E382="",F382=""),"Complete required fields",IF(COUNTIF($B$2:$B$501,B382)&gt;1,"Duplicate sale ID",IF(AND(D382&lt;&gt;"",COUNTIF(Clients!$A$2:$A$501,D382)&lt;&gt;1),"Check client ID",IF(VLOOKUP(C382,Inventory!$A$2:$L$501,12,FALSE)&lt;0,"OVER SOLD","OK"))))))</f>
        <v/>
      </c>
    </row>
    <row r="383" ht="23" customHeight="1">
      <c r="A383" s="18" t="n"/>
      <c r="B383" s="14" t="n"/>
      <c r="C383" s="14" t="n"/>
      <c r="D383" s="14" t="n"/>
      <c r="E383" s="15" t="n"/>
      <c r="F383" s="16" t="n"/>
      <c r="G383" s="13">
        <f>IF(C383="","",ROUND(E383*F383,2))</f>
        <v/>
      </c>
      <c r="H383" s="13">
        <f>IF(C383="","",IFERROR(VLOOKUP(C383,Inventory!$A$2:$J$501,9,FALSE),0))</f>
        <v/>
      </c>
      <c r="I383" s="13">
        <f>IF(C383="","",ROUND(E383*H383,2))</f>
        <v/>
      </c>
      <c r="J383" s="16" t="n"/>
      <c r="K383" s="16" t="n"/>
      <c r="L383" s="13">
        <f>IF(C383="","",ROUND(G383-I383-J383-K383,2))</f>
        <v/>
      </c>
      <c r="M383" s="15" t="n"/>
      <c r="N383" s="15" t="n"/>
      <c r="O383" s="12">
        <f>IF(C383="","",IFERROR(VLOOKUP(C383,Inventory!$A$2:$B$501,2,FALSE),"Unknown lot"))</f>
        <v/>
      </c>
      <c r="P383" s="12">
        <f>IF(D383="","",IFERROR(VLOOKUP(D383,Clients!$A$2:$B$501,2,FALSE),"Unknown client"))</f>
        <v/>
      </c>
      <c r="Q383" s="12">
        <f>IF(C383="","",IF(COUNTIF(Inventory!$A$2:$A$501,C383)&lt;&gt;1,"Check lot ID",IF(OR(A383="",B383="",E383="",F383=""),"Complete required fields",IF(COUNTIF($B$2:$B$501,B383)&gt;1,"Duplicate sale ID",IF(AND(D383&lt;&gt;"",COUNTIF(Clients!$A$2:$A$501,D383)&lt;&gt;1),"Check client ID",IF(VLOOKUP(C383,Inventory!$A$2:$L$501,12,FALSE)&lt;0,"OVER SOLD","OK"))))))</f>
        <v/>
      </c>
    </row>
    <row r="384" ht="23" customHeight="1">
      <c r="A384" s="17" t="n"/>
      <c r="B384" s="9" t="n"/>
      <c r="C384" s="9" t="n"/>
      <c r="D384" s="9" t="n"/>
      <c r="E384" s="10" t="n"/>
      <c r="F384" s="11" t="n"/>
      <c r="G384" s="13">
        <f>IF(C384="","",ROUND(E384*F384,2))</f>
        <v/>
      </c>
      <c r="H384" s="13">
        <f>IF(C384="","",IFERROR(VLOOKUP(C384,Inventory!$A$2:$J$501,9,FALSE),0))</f>
        <v/>
      </c>
      <c r="I384" s="13">
        <f>IF(C384="","",ROUND(E384*H384,2))</f>
        <v/>
      </c>
      <c r="J384" s="11" t="n"/>
      <c r="K384" s="11" t="n"/>
      <c r="L384" s="13">
        <f>IF(C384="","",ROUND(G384-I384-J384-K384,2))</f>
        <v/>
      </c>
      <c r="M384" s="10" t="n"/>
      <c r="N384" s="10" t="n"/>
      <c r="O384" s="12">
        <f>IF(C384="","",IFERROR(VLOOKUP(C384,Inventory!$A$2:$B$501,2,FALSE),"Unknown lot"))</f>
        <v/>
      </c>
      <c r="P384" s="12">
        <f>IF(D384="","",IFERROR(VLOOKUP(D384,Clients!$A$2:$B$501,2,FALSE),"Unknown client"))</f>
        <v/>
      </c>
      <c r="Q384" s="12">
        <f>IF(C384="","",IF(COUNTIF(Inventory!$A$2:$A$501,C384)&lt;&gt;1,"Check lot ID",IF(OR(A384="",B384="",E384="",F384=""),"Complete required fields",IF(COUNTIF($B$2:$B$501,B384)&gt;1,"Duplicate sale ID",IF(AND(D384&lt;&gt;"",COUNTIF(Clients!$A$2:$A$501,D384)&lt;&gt;1),"Check client ID",IF(VLOOKUP(C384,Inventory!$A$2:$L$501,12,FALSE)&lt;0,"OVER SOLD","OK"))))))</f>
        <v/>
      </c>
    </row>
    <row r="385" ht="23" customHeight="1">
      <c r="A385" s="18" t="n"/>
      <c r="B385" s="14" t="n"/>
      <c r="C385" s="14" t="n"/>
      <c r="D385" s="14" t="n"/>
      <c r="E385" s="15" t="n"/>
      <c r="F385" s="16" t="n"/>
      <c r="G385" s="13">
        <f>IF(C385="","",ROUND(E385*F385,2))</f>
        <v/>
      </c>
      <c r="H385" s="13">
        <f>IF(C385="","",IFERROR(VLOOKUP(C385,Inventory!$A$2:$J$501,9,FALSE),0))</f>
        <v/>
      </c>
      <c r="I385" s="13">
        <f>IF(C385="","",ROUND(E385*H385,2))</f>
        <v/>
      </c>
      <c r="J385" s="16" t="n"/>
      <c r="K385" s="16" t="n"/>
      <c r="L385" s="13">
        <f>IF(C385="","",ROUND(G385-I385-J385-K385,2))</f>
        <v/>
      </c>
      <c r="M385" s="15" t="n"/>
      <c r="N385" s="15" t="n"/>
      <c r="O385" s="12">
        <f>IF(C385="","",IFERROR(VLOOKUP(C385,Inventory!$A$2:$B$501,2,FALSE),"Unknown lot"))</f>
        <v/>
      </c>
      <c r="P385" s="12">
        <f>IF(D385="","",IFERROR(VLOOKUP(D385,Clients!$A$2:$B$501,2,FALSE),"Unknown client"))</f>
        <v/>
      </c>
      <c r="Q385" s="12">
        <f>IF(C385="","",IF(COUNTIF(Inventory!$A$2:$A$501,C385)&lt;&gt;1,"Check lot ID",IF(OR(A385="",B385="",E385="",F385=""),"Complete required fields",IF(COUNTIF($B$2:$B$501,B385)&gt;1,"Duplicate sale ID",IF(AND(D385&lt;&gt;"",COUNTIF(Clients!$A$2:$A$501,D385)&lt;&gt;1),"Check client ID",IF(VLOOKUP(C385,Inventory!$A$2:$L$501,12,FALSE)&lt;0,"OVER SOLD","OK"))))))</f>
        <v/>
      </c>
    </row>
    <row r="386" ht="23" customHeight="1">
      <c r="A386" s="17" t="n"/>
      <c r="B386" s="9" t="n"/>
      <c r="C386" s="9" t="n"/>
      <c r="D386" s="9" t="n"/>
      <c r="E386" s="10" t="n"/>
      <c r="F386" s="11" t="n"/>
      <c r="G386" s="13">
        <f>IF(C386="","",ROUND(E386*F386,2))</f>
        <v/>
      </c>
      <c r="H386" s="13">
        <f>IF(C386="","",IFERROR(VLOOKUP(C386,Inventory!$A$2:$J$501,9,FALSE),0))</f>
        <v/>
      </c>
      <c r="I386" s="13">
        <f>IF(C386="","",ROUND(E386*H386,2))</f>
        <v/>
      </c>
      <c r="J386" s="11" t="n"/>
      <c r="K386" s="11" t="n"/>
      <c r="L386" s="13">
        <f>IF(C386="","",ROUND(G386-I386-J386-K386,2))</f>
        <v/>
      </c>
      <c r="M386" s="10" t="n"/>
      <c r="N386" s="10" t="n"/>
      <c r="O386" s="12">
        <f>IF(C386="","",IFERROR(VLOOKUP(C386,Inventory!$A$2:$B$501,2,FALSE),"Unknown lot"))</f>
        <v/>
      </c>
      <c r="P386" s="12">
        <f>IF(D386="","",IFERROR(VLOOKUP(D386,Clients!$A$2:$B$501,2,FALSE),"Unknown client"))</f>
        <v/>
      </c>
      <c r="Q386" s="12">
        <f>IF(C386="","",IF(COUNTIF(Inventory!$A$2:$A$501,C386)&lt;&gt;1,"Check lot ID",IF(OR(A386="",B386="",E386="",F386=""),"Complete required fields",IF(COUNTIF($B$2:$B$501,B386)&gt;1,"Duplicate sale ID",IF(AND(D386&lt;&gt;"",COUNTIF(Clients!$A$2:$A$501,D386)&lt;&gt;1),"Check client ID",IF(VLOOKUP(C386,Inventory!$A$2:$L$501,12,FALSE)&lt;0,"OVER SOLD","OK"))))))</f>
        <v/>
      </c>
    </row>
    <row r="387" ht="23" customHeight="1">
      <c r="A387" s="18" t="n"/>
      <c r="B387" s="14" t="n"/>
      <c r="C387" s="14" t="n"/>
      <c r="D387" s="14" t="n"/>
      <c r="E387" s="15" t="n"/>
      <c r="F387" s="16" t="n"/>
      <c r="G387" s="13">
        <f>IF(C387="","",ROUND(E387*F387,2))</f>
        <v/>
      </c>
      <c r="H387" s="13">
        <f>IF(C387="","",IFERROR(VLOOKUP(C387,Inventory!$A$2:$J$501,9,FALSE),0))</f>
        <v/>
      </c>
      <c r="I387" s="13">
        <f>IF(C387="","",ROUND(E387*H387,2))</f>
        <v/>
      </c>
      <c r="J387" s="16" t="n"/>
      <c r="K387" s="16" t="n"/>
      <c r="L387" s="13">
        <f>IF(C387="","",ROUND(G387-I387-J387-K387,2))</f>
        <v/>
      </c>
      <c r="M387" s="15" t="n"/>
      <c r="N387" s="15" t="n"/>
      <c r="O387" s="12">
        <f>IF(C387="","",IFERROR(VLOOKUP(C387,Inventory!$A$2:$B$501,2,FALSE),"Unknown lot"))</f>
        <v/>
      </c>
      <c r="P387" s="12">
        <f>IF(D387="","",IFERROR(VLOOKUP(D387,Clients!$A$2:$B$501,2,FALSE),"Unknown client"))</f>
        <v/>
      </c>
      <c r="Q387" s="12">
        <f>IF(C387="","",IF(COUNTIF(Inventory!$A$2:$A$501,C387)&lt;&gt;1,"Check lot ID",IF(OR(A387="",B387="",E387="",F387=""),"Complete required fields",IF(COUNTIF($B$2:$B$501,B387)&gt;1,"Duplicate sale ID",IF(AND(D387&lt;&gt;"",COUNTIF(Clients!$A$2:$A$501,D387)&lt;&gt;1),"Check client ID",IF(VLOOKUP(C387,Inventory!$A$2:$L$501,12,FALSE)&lt;0,"OVER SOLD","OK"))))))</f>
        <v/>
      </c>
    </row>
    <row r="388" ht="23" customHeight="1">
      <c r="A388" s="17" t="n"/>
      <c r="B388" s="9" t="n"/>
      <c r="C388" s="9" t="n"/>
      <c r="D388" s="9" t="n"/>
      <c r="E388" s="10" t="n"/>
      <c r="F388" s="11" t="n"/>
      <c r="G388" s="13">
        <f>IF(C388="","",ROUND(E388*F388,2))</f>
        <v/>
      </c>
      <c r="H388" s="13">
        <f>IF(C388="","",IFERROR(VLOOKUP(C388,Inventory!$A$2:$J$501,9,FALSE),0))</f>
        <v/>
      </c>
      <c r="I388" s="13">
        <f>IF(C388="","",ROUND(E388*H388,2))</f>
        <v/>
      </c>
      <c r="J388" s="11" t="n"/>
      <c r="K388" s="11" t="n"/>
      <c r="L388" s="13">
        <f>IF(C388="","",ROUND(G388-I388-J388-K388,2))</f>
        <v/>
      </c>
      <c r="M388" s="10" t="n"/>
      <c r="N388" s="10" t="n"/>
      <c r="O388" s="12">
        <f>IF(C388="","",IFERROR(VLOOKUP(C388,Inventory!$A$2:$B$501,2,FALSE),"Unknown lot"))</f>
        <v/>
      </c>
      <c r="P388" s="12">
        <f>IF(D388="","",IFERROR(VLOOKUP(D388,Clients!$A$2:$B$501,2,FALSE),"Unknown client"))</f>
        <v/>
      </c>
      <c r="Q388" s="12">
        <f>IF(C388="","",IF(COUNTIF(Inventory!$A$2:$A$501,C388)&lt;&gt;1,"Check lot ID",IF(OR(A388="",B388="",E388="",F388=""),"Complete required fields",IF(COUNTIF($B$2:$B$501,B388)&gt;1,"Duplicate sale ID",IF(AND(D388&lt;&gt;"",COUNTIF(Clients!$A$2:$A$501,D388)&lt;&gt;1),"Check client ID",IF(VLOOKUP(C388,Inventory!$A$2:$L$501,12,FALSE)&lt;0,"OVER SOLD","OK"))))))</f>
        <v/>
      </c>
    </row>
    <row r="389" ht="23" customHeight="1">
      <c r="A389" s="18" t="n"/>
      <c r="B389" s="14" t="n"/>
      <c r="C389" s="14" t="n"/>
      <c r="D389" s="14" t="n"/>
      <c r="E389" s="15" t="n"/>
      <c r="F389" s="16" t="n"/>
      <c r="G389" s="13">
        <f>IF(C389="","",ROUND(E389*F389,2))</f>
        <v/>
      </c>
      <c r="H389" s="13">
        <f>IF(C389="","",IFERROR(VLOOKUP(C389,Inventory!$A$2:$J$501,9,FALSE),0))</f>
        <v/>
      </c>
      <c r="I389" s="13">
        <f>IF(C389="","",ROUND(E389*H389,2))</f>
        <v/>
      </c>
      <c r="J389" s="16" t="n"/>
      <c r="K389" s="16" t="n"/>
      <c r="L389" s="13">
        <f>IF(C389="","",ROUND(G389-I389-J389-K389,2))</f>
        <v/>
      </c>
      <c r="M389" s="15" t="n"/>
      <c r="N389" s="15" t="n"/>
      <c r="O389" s="12">
        <f>IF(C389="","",IFERROR(VLOOKUP(C389,Inventory!$A$2:$B$501,2,FALSE),"Unknown lot"))</f>
        <v/>
      </c>
      <c r="P389" s="12">
        <f>IF(D389="","",IFERROR(VLOOKUP(D389,Clients!$A$2:$B$501,2,FALSE),"Unknown client"))</f>
        <v/>
      </c>
      <c r="Q389" s="12">
        <f>IF(C389="","",IF(COUNTIF(Inventory!$A$2:$A$501,C389)&lt;&gt;1,"Check lot ID",IF(OR(A389="",B389="",E389="",F389=""),"Complete required fields",IF(COUNTIF($B$2:$B$501,B389)&gt;1,"Duplicate sale ID",IF(AND(D389&lt;&gt;"",COUNTIF(Clients!$A$2:$A$501,D389)&lt;&gt;1),"Check client ID",IF(VLOOKUP(C389,Inventory!$A$2:$L$501,12,FALSE)&lt;0,"OVER SOLD","OK"))))))</f>
        <v/>
      </c>
    </row>
    <row r="390" ht="23" customHeight="1">
      <c r="A390" s="17" t="n"/>
      <c r="B390" s="9" t="n"/>
      <c r="C390" s="9" t="n"/>
      <c r="D390" s="9" t="n"/>
      <c r="E390" s="10" t="n"/>
      <c r="F390" s="11" t="n"/>
      <c r="G390" s="13">
        <f>IF(C390="","",ROUND(E390*F390,2))</f>
        <v/>
      </c>
      <c r="H390" s="13">
        <f>IF(C390="","",IFERROR(VLOOKUP(C390,Inventory!$A$2:$J$501,9,FALSE),0))</f>
        <v/>
      </c>
      <c r="I390" s="13">
        <f>IF(C390="","",ROUND(E390*H390,2))</f>
        <v/>
      </c>
      <c r="J390" s="11" t="n"/>
      <c r="K390" s="11" t="n"/>
      <c r="L390" s="13">
        <f>IF(C390="","",ROUND(G390-I390-J390-K390,2))</f>
        <v/>
      </c>
      <c r="M390" s="10" t="n"/>
      <c r="N390" s="10" t="n"/>
      <c r="O390" s="12">
        <f>IF(C390="","",IFERROR(VLOOKUP(C390,Inventory!$A$2:$B$501,2,FALSE),"Unknown lot"))</f>
        <v/>
      </c>
      <c r="P390" s="12">
        <f>IF(D390="","",IFERROR(VLOOKUP(D390,Clients!$A$2:$B$501,2,FALSE),"Unknown client"))</f>
        <v/>
      </c>
      <c r="Q390" s="12">
        <f>IF(C390="","",IF(COUNTIF(Inventory!$A$2:$A$501,C390)&lt;&gt;1,"Check lot ID",IF(OR(A390="",B390="",E390="",F390=""),"Complete required fields",IF(COUNTIF($B$2:$B$501,B390)&gt;1,"Duplicate sale ID",IF(AND(D390&lt;&gt;"",COUNTIF(Clients!$A$2:$A$501,D390)&lt;&gt;1),"Check client ID",IF(VLOOKUP(C390,Inventory!$A$2:$L$501,12,FALSE)&lt;0,"OVER SOLD","OK"))))))</f>
        <v/>
      </c>
    </row>
    <row r="391" ht="23" customHeight="1">
      <c r="A391" s="18" t="n"/>
      <c r="B391" s="14" t="n"/>
      <c r="C391" s="14" t="n"/>
      <c r="D391" s="14" t="n"/>
      <c r="E391" s="15" t="n"/>
      <c r="F391" s="16" t="n"/>
      <c r="G391" s="13">
        <f>IF(C391="","",ROUND(E391*F391,2))</f>
        <v/>
      </c>
      <c r="H391" s="13">
        <f>IF(C391="","",IFERROR(VLOOKUP(C391,Inventory!$A$2:$J$501,9,FALSE),0))</f>
        <v/>
      </c>
      <c r="I391" s="13">
        <f>IF(C391="","",ROUND(E391*H391,2))</f>
        <v/>
      </c>
      <c r="J391" s="16" t="n"/>
      <c r="K391" s="16" t="n"/>
      <c r="L391" s="13">
        <f>IF(C391="","",ROUND(G391-I391-J391-K391,2))</f>
        <v/>
      </c>
      <c r="M391" s="15" t="n"/>
      <c r="N391" s="15" t="n"/>
      <c r="O391" s="12">
        <f>IF(C391="","",IFERROR(VLOOKUP(C391,Inventory!$A$2:$B$501,2,FALSE),"Unknown lot"))</f>
        <v/>
      </c>
      <c r="P391" s="12">
        <f>IF(D391="","",IFERROR(VLOOKUP(D391,Clients!$A$2:$B$501,2,FALSE),"Unknown client"))</f>
        <v/>
      </c>
      <c r="Q391" s="12">
        <f>IF(C391="","",IF(COUNTIF(Inventory!$A$2:$A$501,C391)&lt;&gt;1,"Check lot ID",IF(OR(A391="",B391="",E391="",F391=""),"Complete required fields",IF(COUNTIF($B$2:$B$501,B391)&gt;1,"Duplicate sale ID",IF(AND(D391&lt;&gt;"",COUNTIF(Clients!$A$2:$A$501,D391)&lt;&gt;1),"Check client ID",IF(VLOOKUP(C391,Inventory!$A$2:$L$501,12,FALSE)&lt;0,"OVER SOLD","OK"))))))</f>
        <v/>
      </c>
    </row>
    <row r="392" ht="23" customHeight="1">
      <c r="A392" s="17" t="n"/>
      <c r="B392" s="9" t="n"/>
      <c r="C392" s="9" t="n"/>
      <c r="D392" s="9" t="n"/>
      <c r="E392" s="10" t="n"/>
      <c r="F392" s="11" t="n"/>
      <c r="G392" s="13">
        <f>IF(C392="","",ROUND(E392*F392,2))</f>
        <v/>
      </c>
      <c r="H392" s="13">
        <f>IF(C392="","",IFERROR(VLOOKUP(C392,Inventory!$A$2:$J$501,9,FALSE),0))</f>
        <v/>
      </c>
      <c r="I392" s="13">
        <f>IF(C392="","",ROUND(E392*H392,2))</f>
        <v/>
      </c>
      <c r="J392" s="11" t="n"/>
      <c r="K392" s="11" t="n"/>
      <c r="L392" s="13">
        <f>IF(C392="","",ROUND(G392-I392-J392-K392,2))</f>
        <v/>
      </c>
      <c r="M392" s="10" t="n"/>
      <c r="N392" s="10" t="n"/>
      <c r="O392" s="12">
        <f>IF(C392="","",IFERROR(VLOOKUP(C392,Inventory!$A$2:$B$501,2,FALSE),"Unknown lot"))</f>
        <v/>
      </c>
      <c r="P392" s="12">
        <f>IF(D392="","",IFERROR(VLOOKUP(D392,Clients!$A$2:$B$501,2,FALSE),"Unknown client"))</f>
        <v/>
      </c>
      <c r="Q392" s="12">
        <f>IF(C392="","",IF(COUNTIF(Inventory!$A$2:$A$501,C392)&lt;&gt;1,"Check lot ID",IF(OR(A392="",B392="",E392="",F392=""),"Complete required fields",IF(COUNTIF($B$2:$B$501,B392)&gt;1,"Duplicate sale ID",IF(AND(D392&lt;&gt;"",COUNTIF(Clients!$A$2:$A$501,D392)&lt;&gt;1),"Check client ID",IF(VLOOKUP(C392,Inventory!$A$2:$L$501,12,FALSE)&lt;0,"OVER SOLD","OK"))))))</f>
        <v/>
      </c>
    </row>
    <row r="393" ht="23" customHeight="1">
      <c r="A393" s="18" t="n"/>
      <c r="B393" s="14" t="n"/>
      <c r="C393" s="14" t="n"/>
      <c r="D393" s="14" t="n"/>
      <c r="E393" s="15" t="n"/>
      <c r="F393" s="16" t="n"/>
      <c r="G393" s="13">
        <f>IF(C393="","",ROUND(E393*F393,2))</f>
        <v/>
      </c>
      <c r="H393" s="13">
        <f>IF(C393="","",IFERROR(VLOOKUP(C393,Inventory!$A$2:$J$501,9,FALSE),0))</f>
        <v/>
      </c>
      <c r="I393" s="13">
        <f>IF(C393="","",ROUND(E393*H393,2))</f>
        <v/>
      </c>
      <c r="J393" s="16" t="n"/>
      <c r="K393" s="16" t="n"/>
      <c r="L393" s="13">
        <f>IF(C393="","",ROUND(G393-I393-J393-K393,2))</f>
        <v/>
      </c>
      <c r="M393" s="15" t="n"/>
      <c r="N393" s="15" t="n"/>
      <c r="O393" s="12">
        <f>IF(C393="","",IFERROR(VLOOKUP(C393,Inventory!$A$2:$B$501,2,FALSE),"Unknown lot"))</f>
        <v/>
      </c>
      <c r="P393" s="12">
        <f>IF(D393="","",IFERROR(VLOOKUP(D393,Clients!$A$2:$B$501,2,FALSE),"Unknown client"))</f>
        <v/>
      </c>
      <c r="Q393" s="12">
        <f>IF(C393="","",IF(COUNTIF(Inventory!$A$2:$A$501,C393)&lt;&gt;1,"Check lot ID",IF(OR(A393="",B393="",E393="",F393=""),"Complete required fields",IF(COUNTIF($B$2:$B$501,B393)&gt;1,"Duplicate sale ID",IF(AND(D393&lt;&gt;"",COUNTIF(Clients!$A$2:$A$501,D393)&lt;&gt;1),"Check client ID",IF(VLOOKUP(C393,Inventory!$A$2:$L$501,12,FALSE)&lt;0,"OVER SOLD","OK"))))))</f>
        <v/>
      </c>
    </row>
    <row r="394" ht="23" customHeight="1">
      <c r="A394" s="17" t="n"/>
      <c r="B394" s="9" t="n"/>
      <c r="C394" s="9" t="n"/>
      <c r="D394" s="9" t="n"/>
      <c r="E394" s="10" t="n"/>
      <c r="F394" s="11" t="n"/>
      <c r="G394" s="13">
        <f>IF(C394="","",ROUND(E394*F394,2))</f>
        <v/>
      </c>
      <c r="H394" s="13">
        <f>IF(C394="","",IFERROR(VLOOKUP(C394,Inventory!$A$2:$J$501,9,FALSE),0))</f>
        <v/>
      </c>
      <c r="I394" s="13">
        <f>IF(C394="","",ROUND(E394*H394,2))</f>
        <v/>
      </c>
      <c r="J394" s="11" t="n"/>
      <c r="K394" s="11" t="n"/>
      <c r="L394" s="13">
        <f>IF(C394="","",ROUND(G394-I394-J394-K394,2))</f>
        <v/>
      </c>
      <c r="M394" s="10" t="n"/>
      <c r="N394" s="10" t="n"/>
      <c r="O394" s="12">
        <f>IF(C394="","",IFERROR(VLOOKUP(C394,Inventory!$A$2:$B$501,2,FALSE),"Unknown lot"))</f>
        <v/>
      </c>
      <c r="P394" s="12">
        <f>IF(D394="","",IFERROR(VLOOKUP(D394,Clients!$A$2:$B$501,2,FALSE),"Unknown client"))</f>
        <v/>
      </c>
      <c r="Q394" s="12">
        <f>IF(C394="","",IF(COUNTIF(Inventory!$A$2:$A$501,C394)&lt;&gt;1,"Check lot ID",IF(OR(A394="",B394="",E394="",F394=""),"Complete required fields",IF(COUNTIF($B$2:$B$501,B394)&gt;1,"Duplicate sale ID",IF(AND(D394&lt;&gt;"",COUNTIF(Clients!$A$2:$A$501,D394)&lt;&gt;1),"Check client ID",IF(VLOOKUP(C394,Inventory!$A$2:$L$501,12,FALSE)&lt;0,"OVER SOLD","OK"))))))</f>
        <v/>
      </c>
    </row>
    <row r="395" ht="23" customHeight="1">
      <c r="A395" s="18" t="n"/>
      <c r="B395" s="14" t="n"/>
      <c r="C395" s="14" t="n"/>
      <c r="D395" s="14" t="n"/>
      <c r="E395" s="15" t="n"/>
      <c r="F395" s="16" t="n"/>
      <c r="G395" s="13">
        <f>IF(C395="","",ROUND(E395*F395,2))</f>
        <v/>
      </c>
      <c r="H395" s="13">
        <f>IF(C395="","",IFERROR(VLOOKUP(C395,Inventory!$A$2:$J$501,9,FALSE),0))</f>
        <v/>
      </c>
      <c r="I395" s="13">
        <f>IF(C395="","",ROUND(E395*H395,2))</f>
        <v/>
      </c>
      <c r="J395" s="16" t="n"/>
      <c r="K395" s="16" t="n"/>
      <c r="L395" s="13">
        <f>IF(C395="","",ROUND(G395-I395-J395-K395,2))</f>
        <v/>
      </c>
      <c r="M395" s="15" t="n"/>
      <c r="N395" s="15" t="n"/>
      <c r="O395" s="12">
        <f>IF(C395="","",IFERROR(VLOOKUP(C395,Inventory!$A$2:$B$501,2,FALSE),"Unknown lot"))</f>
        <v/>
      </c>
      <c r="P395" s="12">
        <f>IF(D395="","",IFERROR(VLOOKUP(D395,Clients!$A$2:$B$501,2,FALSE),"Unknown client"))</f>
        <v/>
      </c>
      <c r="Q395" s="12">
        <f>IF(C395="","",IF(COUNTIF(Inventory!$A$2:$A$501,C395)&lt;&gt;1,"Check lot ID",IF(OR(A395="",B395="",E395="",F395=""),"Complete required fields",IF(COUNTIF($B$2:$B$501,B395)&gt;1,"Duplicate sale ID",IF(AND(D395&lt;&gt;"",COUNTIF(Clients!$A$2:$A$501,D395)&lt;&gt;1),"Check client ID",IF(VLOOKUP(C395,Inventory!$A$2:$L$501,12,FALSE)&lt;0,"OVER SOLD","OK"))))))</f>
        <v/>
      </c>
    </row>
    <row r="396" ht="23" customHeight="1">
      <c r="A396" s="17" t="n"/>
      <c r="B396" s="9" t="n"/>
      <c r="C396" s="9" t="n"/>
      <c r="D396" s="9" t="n"/>
      <c r="E396" s="10" t="n"/>
      <c r="F396" s="11" t="n"/>
      <c r="G396" s="13">
        <f>IF(C396="","",ROUND(E396*F396,2))</f>
        <v/>
      </c>
      <c r="H396" s="13">
        <f>IF(C396="","",IFERROR(VLOOKUP(C396,Inventory!$A$2:$J$501,9,FALSE),0))</f>
        <v/>
      </c>
      <c r="I396" s="13">
        <f>IF(C396="","",ROUND(E396*H396,2))</f>
        <v/>
      </c>
      <c r="J396" s="11" t="n"/>
      <c r="K396" s="11" t="n"/>
      <c r="L396" s="13">
        <f>IF(C396="","",ROUND(G396-I396-J396-K396,2))</f>
        <v/>
      </c>
      <c r="M396" s="10" t="n"/>
      <c r="N396" s="10" t="n"/>
      <c r="O396" s="12">
        <f>IF(C396="","",IFERROR(VLOOKUP(C396,Inventory!$A$2:$B$501,2,FALSE),"Unknown lot"))</f>
        <v/>
      </c>
      <c r="P396" s="12">
        <f>IF(D396="","",IFERROR(VLOOKUP(D396,Clients!$A$2:$B$501,2,FALSE),"Unknown client"))</f>
        <v/>
      </c>
      <c r="Q396" s="12">
        <f>IF(C396="","",IF(COUNTIF(Inventory!$A$2:$A$501,C396)&lt;&gt;1,"Check lot ID",IF(OR(A396="",B396="",E396="",F396=""),"Complete required fields",IF(COUNTIF($B$2:$B$501,B396)&gt;1,"Duplicate sale ID",IF(AND(D396&lt;&gt;"",COUNTIF(Clients!$A$2:$A$501,D396)&lt;&gt;1),"Check client ID",IF(VLOOKUP(C396,Inventory!$A$2:$L$501,12,FALSE)&lt;0,"OVER SOLD","OK"))))))</f>
        <v/>
      </c>
    </row>
    <row r="397" ht="23" customHeight="1">
      <c r="A397" s="18" t="n"/>
      <c r="B397" s="14" t="n"/>
      <c r="C397" s="14" t="n"/>
      <c r="D397" s="14" t="n"/>
      <c r="E397" s="15" t="n"/>
      <c r="F397" s="16" t="n"/>
      <c r="G397" s="13">
        <f>IF(C397="","",ROUND(E397*F397,2))</f>
        <v/>
      </c>
      <c r="H397" s="13">
        <f>IF(C397="","",IFERROR(VLOOKUP(C397,Inventory!$A$2:$J$501,9,FALSE),0))</f>
        <v/>
      </c>
      <c r="I397" s="13">
        <f>IF(C397="","",ROUND(E397*H397,2))</f>
        <v/>
      </c>
      <c r="J397" s="16" t="n"/>
      <c r="K397" s="16" t="n"/>
      <c r="L397" s="13">
        <f>IF(C397="","",ROUND(G397-I397-J397-K397,2))</f>
        <v/>
      </c>
      <c r="M397" s="15" t="n"/>
      <c r="N397" s="15" t="n"/>
      <c r="O397" s="12">
        <f>IF(C397="","",IFERROR(VLOOKUP(C397,Inventory!$A$2:$B$501,2,FALSE),"Unknown lot"))</f>
        <v/>
      </c>
      <c r="P397" s="12">
        <f>IF(D397="","",IFERROR(VLOOKUP(D397,Clients!$A$2:$B$501,2,FALSE),"Unknown client"))</f>
        <v/>
      </c>
      <c r="Q397" s="12">
        <f>IF(C397="","",IF(COUNTIF(Inventory!$A$2:$A$501,C397)&lt;&gt;1,"Check lot ID",IF(OR(A397="",B397="",E397="",F397=""),"Complete required fields",IF(COUNTIF($B$2:$B$501,B397)&gt;1,"Duplicate sale ID",IF(AND(D397&lt;&gt;"",COUNTIF(Clients!$A$2:$A$501,D397)&lt;&gt;1),"Check client ID",IF(VLOOKUP(C397,Inventory!$A$2:$L$501,12,FALSE)&lt;0,"OVER SOLD","OK"))))))</f>
        <v/>
      </c>
    </row>
    <row r="398" ht="23" customHeight="1">
      <c r="A398" s="17" t="n"/>
      <c r="B398" s="9" t="n"/>
      <c r="C398" s="9" t="n"/>
      <c r="D398" s="9" t="n"/>
      <c r="E398" s="10" t="n"/>
      <c r="F398" s="11" t="n"/>
      <c r="G398" s="13">
        <f>IF(C398="","",ROUND(E398*F398,2))</f>
        <v/>
      </c>
      <c r="H398" s="13">
        <f>IF(C398="","",IFERROR(VLOOKUP(C398,Inventory!$A$2:$J$501,9,FALSE),0))</f>
        <v/>
      </c>
      <c r="I398" s="13">
        <f>IF(C398="","",ROUND(E398*H398,2))</f>
        <v/>
      </c>
      <c r="J398" s="11" t="n"/>
      <c r="K398" s="11" t="n"/>
      <c r="L398" s="13">
        <f>IF(C398="","",ROUND(G398-I398-J398-K398,2))</f>
        <v/>
      </c>
      <c r="M398" s="10" t="n"/>
      <c r="N398" s="10" t="n"/>
      <c r="O398" s="12">
        <f>IF(C398="","",IFERROR(VLOOKUP(C398,Inventory!$A$2:$B$501,2,FALSE),"Unknown lot"))</f>
        <v/>
      </c>
      <c r="P398" s="12">
        <f>IF(D398="","",IFERROR(VLOOKUP(D398,Clients!$A$2:$B$501,2,FALSE),"Unknown client"))</f>
        <v/>
      </c>
      <c r="Q398" s="12">
        <f>IF(C398="","",IF(COUNTIF(Inventory!$A$2:$A$501,C398)&lt;&gt;1,"Check lot ID",IF(OR(A398="",B398="",E398="",F398=""),"Complete required fields",IF(COUNTIF($B$2:$B$501,B398)&gt;1,"Duplicate sale ID",IF(AND(D398&lt;&gt;"",COUNTIF(Clients!$A$2:$A$501,D398)&lt;&gt;1),"Check client ID",IF(VLOOKUP(C398,Inventory!$A$2:$L$501,12,FALSE)&lt;0,"OVER SOLD","OK"))))))</f>
        <v/>
      </c>
    </row>
    <row r="399" ht="23" customHeight="1">
      <c r="A399" s="18" t="n"/>
      <c r="B399" s="14" t="n"/>
      <c r="C399" s="14" t="n"/>
      <c r="D399" s="14" t="n"/>
      <c r="E399" s="15" t="n"/>
      <c r="F399" s="16" t="n"/>
      <c r="G399" s="13">
        <f>IF(C399="","",ROUND(E399*F399,2))</f>
        <v/>
      </c>
      <c r="H399" s="13">
        <f>IF(C399="","",IFERROR(VLOOKUP(C399,Inventory!$A$2:$J$501,9,FALSE),0))</f>
        <v/>
      </c>
      <c r="I399" s="13">
        <f>IF(C399="","",ROUND(E399*H399,2))</f>
        <v/>
      </c>
      <c r="J399" s="16" t="n"/>
      <c r="K399" s="16" t="n"/>
      <c r="L399" s="13">
        <f>IF(C399="","",ROUND(G399-I399-J399-K399,2))</f>
        <v/>
      </c>
      <c r="M399" s="15" t="n"/>
      <c r="N399" s="15" t="n"/>
      <c r="O399" s="12">
        <f>IF(C399="","",IFERROR(VLOOKUP(C399,Inventory!$A$2:$B$501,2,FALSE),"Unknown lot"))</f>
        <v/>
      </c>
      <c r="P399" s="12">
        <f>IF(D399="","",IFERROR(VLOOKUP(D399,Clients!$A$2:$B$501,2,FALSE),"Unknown client"))</f>
        <v/>
      </c>
      <c r="Q399" s="12">
        <f>IF(C399="","",IF(COUNTIF(Inventory!$A$2:$A$501,C399)&lt;&gt;1,"Check lot ID",IF(OR(A399="",B399="",E399="",F399=""),"Complete required fields",IF(COUNTIF($B$2:$B$501,B399)&gt;1,"Duplicate sale ID",IF(AND(D399&lt;&gt;"",COUNTIF(Clients!$A$2:$A$501,D399)&lt;&gt;1),"Check client ID",IF(VLOOKUP(C399,Inventory!$A$2:$L$501,12,FALSE)&lt;0,"OVER SOLD","OK"))))))</f>
        <v/>
      </c>
    </row>
    <row r="400" ht="23" customHeight="1">
      <c r="A400" s="17" t="n"/>
      <c r="B400" s="9" t="n"/>
      <c r="C400" s="9" t="n"/>
      <c r="D400" s="9" t="n"/>
      <c r="E400" s="10" t="n"/>
      <c r="F400" s="11" t="n"/>
      <c r="G400" s="13">
        <f>IF(C400="","",ROUND(E400*F400,2))</f>
        <v/>
      </c>
      <c r="H400" s="13">
        <f>IF(C400="","",IFERROR(VLOOKUP(C400,Inventory!$A$2:$J$501,9,FALSE),0))</f>
        <v/>
      </c>
      <c r="I400" s="13">
        <f>IF(C400="","",ROUND(E400*H400,2))</f>
        <v/>
      </c>
      <c r="J400" s="11" t="n"/>
      <c r="K400" s="11" t="n"/>
      <c r="L400" s="13">
        <f>IF(C400="","",ROUND(G400-I400-J400-K400,2))</f>
        <v/>
      </c>
      <c r="M400" s="10" t="n"/>
      <c r="N400" s="10" t="n"/>
      <c r="O400" s="12">
        <f>IF(C400="","",IFERROR(VLOOKUP(C400,Inventory!$A$2:$B$501,2,FALSE),"Unknown lot"))</f>
        <v/>
      </c>
      <c r="P400" s="12">
        <f>IF(D400="","",IFERROR(VLOOKUP(D400,Clients!$A$2:$B$501,2,FALSE),"Unknown client"))</f>
        <v/>
      </c>
      <c r="Q400" s="12">
        <f>IF(C400="","",IF(COUNTIF(Inventory!$A$2:$A$501,C400)&lt;&gt;1,"Check lot ID",IF(OR(A400="",B400="",E400="",F400=""),"Complete required fields",IF(COUNTIF($B$2:$B$501,B400)&gt;1,"Duplicate sale ID",IF(AND(D400&lt;&gt;"",COUNTIF(Clients!$A$2:$A$501,D400)&lt;&gt;1),"Check client ID",IF(VLOOKUP(C400,Inventory!$A$2:$L$501,12,FALSE)&lt;0,"OVER SOLD","OK"))))))</f>
        <v/>
      </c>
    </row>
    <row r="401" ht="23" customHeight="1">
      <c r="A401" s="18" t="n"/>
      <c r="B401" s="14" t="n"/>
      <c r="C401" s="14" t="n"/>
      <c r="D401" s="14" t="n"/>
      <c r="E401" s="15" t="n"/>
      <c r="F401" s="16" t="n"/>
      <c r="G401" s="13">
        <f>IF(C401="","",ROUND(E401*F401,2))</f>
        <v/>
      </c>
      <c r="H401" s="13">
        <f>IF(C401="","",IFERROR(VLOOKUP(C401,Inventory!$A$2:$J$501,9,FALSE),0))</f>
        <v/>
      </c>
      <c r="I401" s="13">
        <f>IF(C401="","",ROUND(E401*H401,2))</f>
        <v/>
      </c>
      <c r="J401" s="16" t="n"/>
      <c r="K401" s="16" t="n"/>
      <c r="L401" s="13">
        <f>IF(C401="","",ROUND(G401-I401-J401-K401,2))</f>
        <v/>
      </c>
      <c r="M401" s="15" t="n"/>
      <c r="N401" s="15" t="n"/>
      <c r="O401" s="12">
        <f>IF(C401="","",IFERROR(VLOOKUP(C401,Inventory!$A$2:$B$501,2,FALSE),"Unknown lot"))</f>
        <v/>
      </c>
      <c r="P401" s="12">
        <f>IF(D401="","",IFERROR(VLOOKUP(D401,Clients!$A$2:$B$501,2,FALSE),"Unknown client"))</f>
        <v/>
      </c>
      <c r="Q401" s="12">
        <f>IF(C401="","",IF(COUNTIF(Inventory!$A$2:$A$501,C401)&lt;&gt;1,"Check lot ID",IF(OR(A401="",B401="",E401="",F401=""),"Complete required fields",IF(COUNTIF($B$2:$B$501,B401)&gt;1,"Duplicate sale ID",IF(AND(D401&lt;&gt;"",COUNTIF(Clients!$A$2:$A$501,D401)&lt;&gt;1),"Check client ID",IF(VLOOKUP(C401,Inventory!$A$2:$L$501,12,FALSE)&lt;0,"OVER SOLD","OK"))))))</f>
        <v/>
      </c>
    </row>
    <row r="402" ht="23" customHeight="1">
      <c r="A402" s="17" t="n"/>
      <c r="B402" s="9" t="n"/>
      <c r="C402" s="9" t="n"/>
      <c r="D402" s="9" t="n"/>
      <c r="E402" s="10" t="n"/>
      <c r="F402" s="11" t="n"/>
      <c r="G402" s="13">
        <f>IF(C402="","",ROUND(E402*F402,2))</f>
        <v/>
      </c>
      <c r="H402" s="13">
        <f>IF(C402="","",IFERROR(VLOOKUP(C402,Inventory!$A$2:$J$501,9,FALSE),0))</f>
        <v/>
      </c>
      <c r="I402" s="13">
        <f>IF(C402="","",ROUND(E402*H402,2))</f>
        <v/>
      </c>
      <c r="J402" s="11" t="n"/>
      <c r="K402" s="11" t="n"/>
      <c r="L402" s="13">
        <f>IF(C402="","",ROUND(G402-I402-J402-K402,2))</f>
        <v/>
      </c>
      <c r="M402" s="10" t="n"/>
      <c r="N402" s="10" t="n"/>
      <c r="O402" s="12">
        <f>IF(C402="","",IFERROR(VLOOKUP(C402,Inventory!$A$2:$B$501,2,FALSE),"Unknown lot"))</f>
        <v/>
      </c>
      <c r="P402" s="12">
        <f>IF(D402="","",IFERROR(VLOOKUP(D402,Clients!$A$2:$B$501,2,FALSE),"Unknown client"))</f>
        <v/>
      </c>
      <c r="Q402" s="12">
        <f>IF(C402="","",IF(COUNTIF(Inventory!$A$2:$A$501,C402)&lt;&gt;1,"Check lot ID",IF(OR(A402="",B402="",E402="",F402=""),"Complete required fields",IF(COUNTIF($B$2:$B$501,B402)&gt;1,"Duplicate sale ID",IF(AND(D402&lt;&gt;"",COUNTIF(Clients!$A$2:$A$501,D402)&lt;&gt;1),"Check client ID",IF(VLOOKUP(C402,Inventory!$A$2:$L$501,12,FALSE)&lt;0,"OVER SOLD","OK"))))))</f>
        <v/>
      </c>
    </row>
    <row r="403" ht="23" customHeight="1">
      <c r="A403" s="18" t="n"/>
      <c r="B403" s="14" t="n"/>
      <c r="C403" s="14" t="n"/>
      <c r="D403" s="14" t="n"/>
      <c r="E403" s="15" t="n"/>
      <c r="F403" s="16" t="n"/>
      <c r="G403" s="13">
        <f>IF(C403="","",ROUND(E403*F403,2))</f>
        <v/>
      </c>
      <c r="H403" s="13">
        <f>IF(C403="","",IFERROR(VLOOKUP(C403,Inventory!$A$2:$J$501,9,FALSE),0))</f>
        <v/>
      </c>
      <c r="I403" s="13">
        <f>IF(C403="","",ROUND(E403*H403,2))</f>
        <v/>
      </c>
      <c r="J403" s="16" t="n"/>
      <c r="K403" s="16" t="n"/>
      <c r="L403" s="13">
        <f>IF(C403="","",ROUND(G403-I403-J403-K403,2))</f>
        <v/>
      </c>
      <c r="M403" s="15" t="n"/>
      <c r="N403" s="15" t="n"/>
      <c r="O403" s="12">
        <f>IF(C403="","",IFERROR(VLOOKUP(C403,Inventory!$A$2:$B$501,2,FALSE),"Unknown lot"))</f>
        <v/>
      </c>
      <c r="P403" s="12">
        <f>IF(D403="","",IFERROR(VLOOKUP(D403,Clients!$A$2:$B$501,2,FALSE),"Unknown client"))</f>
        <v/>
      </c>
      <c r="Q403" s="12">
        <f>IF(C403="","",IF(COUNTIF(Inventory!$A$2:$A$501,C403)&lt;&gt;1,"Check lot ID",IF(OR(A403="",B403="",E403="",F403=""),"Complete required fields",IF(COUNTIF($B$2:$B$501,B403)&gt;1,"Duplicate sale ID",IF(AND(D403&lt;&gt;"",COUNTIF(Clients!$A$2:$A$501,D403)&lt;&gt;1),"Check client ID",IF(VLOOKUP(C403,Inventory!$A$2:$L$501,12,FALSE)&lt;0,"OVER SOLD","OK"))))))</f>
        <v/>
      </c>
    </row>
    <row r="404" ht="23" customHeight="1">
      <c r="A404" s="17" t="n"/>
      <c r="B404" s="9" t="n"/>
      <c r="C404" s="9" t="n"/>
      <c r="D404" s="9" t="n"/>
      <c r="E404" s="10" t="n"/>
      <c r="F404" s="11" t="n"/>
      <c r="G404" s="13">
        <f>IF(C404="","",ROUND(E404*F404,2))</f>
        <v/>
      </c>
      <c r="H404" s="13">
        <f>IF(C404="","",IFERROR(VLOOKUP(C404,Inventory!$A$2:$J$501,9,FALSE),0))</f>
        <v/>
      </c>
      <c r="I404" s="13">
        <f>IF(C404="","",ROUND(E404*H404,2))</f>
        <v/>
      </c>
      <c r="J404" s="11" t="n"/>
      <c r="K404" s="11" t="n"/>
      <c r="L404" s="13">
        <f>IF(C404="","",ROUND(G404-I404-J404-K404,2))</f>
        <v/>
      </c>
      <c r="M404" s="10" t="n"/>
      <c r="N404" s="10" t="n"/>
      <c r="O404" s="12">
        <f>IF(C404="","",IFERROR(VLOOKUP(C404,Inventory!$A$2:$B$501,2,FALSE),"Unknown lot"))</f>
        <v/>
      </c>
      <c r="P404" s="12">
        <f>IF(D404="","",IFERROR(VLOOKUP(D404,Clients!$A$2:$B$501,2,FALSE),"Unknown client"))</f>
        <v/>
      </c>
      <c r="Q404" s="12">
        <f>IF(C404="","",IF(COUNTIF(Inventory!$A$2:$A$501,C404)&lt;&gt;1,"Check lot ID",IF(OR(A404="",B404="",E404="",F404=""),"Complete required fields",IF(COUNTIF($B$2:$B$501,B404)&gt;1,"Duplicate sale ID",IF(AND(D404&lt;&gt;"",COUNTIF(Clients!$A$2:$A$501,D404)&lt;&gt;1),"Check client ID",IF(VLOOKUP(C404,Inventory!$A$2:$L$501,12,FALSE)&lt;0,"OVER SOLD","OK"))))))</f>
        <v/>
      </c>
    </row>
    <row r="405" ht="23" customHeight="1">
      <c r="A405" s="18" t="n"/>
      <c r="B405" s="14" t="n"/>
      <c r="C405" s="14" t="n"/>
      <c r="D405" s="14" t="n"/>
      <c r="E405" s="15" t="n"/>
      <c r="F405" s="16" t="n"/>
      <c r="G405" s="13">
        <f>IF(C405="","",ROUND(E405*F405,2))</f>
        <v/>
      </c>
      <c r="H405" s="13">
        <f>IF(C405="","",IFERROR(VLOOKUP(C405,Inventory!$A$2:$J$501,9,FALSE),0))</f>
        <v/>
      </c>
      <c r="I405" s="13">
        <f>IF(C405="","",ROUND(E405*H405,2))</f>
        <v/>
      </c>
      <c r="J405" s="16" t="n"/>
      <c r="K405" s="16" t="n"/>
      <c r="L405" s="13">
        <f>IF(C405="","",ROUND(G405-I405-J405-K405,2))</f>
        <v/>
      </c>
      <c r="M405" s="15" t="n"/>
      <c r="N405" s="15" t="n"/>
      <c r="O405" s="12">
        <f>IF(C405="","",IFERROR(VLOOKUP(C405,Inventory!$A$2:$B$501,2,FALSE),"Unknown lot"))</f>
        <v/>
      </c>
      <c r="P405" s="12">
        <f>IF(D405="","",IFERROR(VLOOKUP(D405,Clients!$A$2:$B$501,2,FALSE),"Unknown client"))</f>
        <v/>
      </c>
      <c r="Q405" s="12">
        <f>IF(C405="","",IF(COUNTIF(Inventory!$A$2:$A$501,C405)&lt;&gt;1,"Check lot ID",IF(OR(A405="",B405="",E405="",F405=""),"Complete required fields",IF(COUNTIF($B$2:$B$501,B405)&gt;1,"Duplicate sale ID",IF(AND(D405&lt;&gt;"",COUNTIF(Clients!$A$2:$A$501,D405)&lt;&gt;1),"Check client ID",IF(VLOOKUP(C405,Inventory!$A$2:$L$501,12,FALSE)&lt;0,"OVER SOLD","OK"))))))</f>
        <v/>
      </c>
    </row>
    <row r="406" ht="23" customHeight="1">
      <c r="A406" s="17" t="n"/>
      <c r="B406" s="9" t="n"/>
      <c r="C406" s="9" t="n"/>
      <c r="D406" s="9" t="n"/>
      <c r="E406" s="10" t="n"/>
      <c r="F406" s="11" t="n"/>
      <c r="G406" s="13">
        <f>IF(C406="","",ROUND(E406*F406,2))</f>
        <v/>
      </c>
      <c r="H406" s="13">
        <f>IF(C406="","",IFERROR(VLOOKUP(C406,Inventory!$A$2:$J$501,9,FALSE),0))</f>
        <v/>
      </c>
      <c r="I406" s="13">
        <f>IF(C406="","",ROUND(E406*H406,2))</f>
        <v/>
      </c>
      <c r="J406" s="11" t="n"/>
      <c r="K406" s="11" t="n"/>
      <c r="L406" s="13">
        <f>IF(C406="","",ROUND(G406-I406-J406-K406,2))</f>
        <v/>
      </c>
      <c r="M406" s="10" t="n"/>
      <c r="N406" s="10" t="n"/>
      <c r="O406" s="12">
        <f>IF(C406="","",IFERROR(VLOOKUP(C406,Inventory!$A$2:$B$501,2,FALSE),"Unknown lot"))</f>
        <v/>
      </c>
      <c r="P406" s="12">
        <f>IF(D406="","",IFERROR(VLOOKUP(D406,Clients!$A$2:$B$501,2,FALSE),"Unknown client"))</f>
        <v/>
      </c>
      <c r="Q406" s="12">
        <f>IF(C406="","",IF(COUNTIF(Inventory!$A$2:$A$501,C406)&lt;&gt;1,"Check lot ID",IF(OR(A406="",B406="",E406="",F406=""),"Complete required fields",IF(COUNTIF($B$2:$B$501,B406)&gt;1,"Duplicate sale ID",IF(AND(D406&lt;&gt;"",COUNTIF(Clients!$A$2:$A$501,D406)&lt;&gt;1),"Check client ID",IF(VLOOKUP(C406,Inventory!$A$2:$L$501,12,FALSE)&lt;0,"OVER SOLD","OK"))))))</f>
        <v/>
      </c>
    </row>
    <row r="407" ht="23" customHeight="1">
      <c r="A407" s="18" t="n"/>
      <c r="B407" s="14" t="n"/>
      <c r="C407" s="14" t="n"/>
      <c r="D407" s="14" t="n"/>
      <c r="E407" s="15" t="n"/>
      <c r="F407" s="16" t="n"/>
      <c r="G407" s="13">
        <f>IF(C407="","",ROUND(E407*F407,2))</f>
        <v/>
      </c>
      <c r="H407" s="13">
        <f>IF(C407="","",IFERROR(VLOOKUP(C407,Inventory!$A$2:$J$501,9,FALSE),0))</f>
        <v/>
      </c>
      <c r="I407" s="13">
        <f>IF(C407="","",ROUND(E407*H407,2))</f>
        <v/>
      </c>
      <c r="J407" s="16" t="n"/>
      <c r="K407" s="16" t="n"/>
      <c r="L407" s="13">
        <f>IF(C407="","",ROUND(G407-I407-J407-K407,2))</f>
        <v/>
      </c>
      <c r="M407" s="15" t="n"/>
      <c r="N407" s="15" t="n"/>
      <c r="O407" s="12">
        <f>IF(C407="","",IFERROR(VLOOKUP(C407,Inventory!$A$2:$B$501,2,FALSE),"Unknown lot"))</f>
        <v/>
      </c>
      <c r="P407" s="12">
        <f>IF(D407="","",IFERROR(VLOOKUP(D407,Clients!$A$2:$B$501,2,FALSE),"Unknown client"))</f>
        <v/>
      </c>
      <c r="Q407" s="12">
        <f>IF(C407="","",IF(COUNTIF(Inventory!$A$2:$A$501,C407)&lt;&gt;1,"Check lot ID",IF(OR(A407="",B407="",E407="",F407=""),"Complete required fields",IF(COUNTIF($B$2:$B$501,B407)&gt;1,"Duplicate sale ID",IF(AND(D407&lt;&gt;"",COUNTIF(Clients!$A$2:$A$501,D407)&lt;&gt;1),"Check client ID",IF(VLOOKUP(C407,Inventory!$A$2:$L$501,12,FALSE)&lt;0,"OVER SOLD","OK"))))))</f>
        <v/>
      </c>
    </row>
    <row r="408" ht="23" customHeight="1">
      <c r="A408" s="17" t="n"/>
      <c r="B408" s="9" t="n"/>
      <c r="C408" s="9" t="n"/>
      <c r="D408" s="9" t="n"/>
      <c r="E408" s="10" t="n"/>
      <c r="F408" s="11" t="n"/>
      <c r="G408" s="13">
        <f>IF(C408="","",ROUND(E408*F408,2))</f>
        <v/>
      </c>
      <c r="H408" s="13">
        <f>IF(C408="","",IFERROR(VLOOKUP(C408,Inventory!$A$2:$J$501,9,FALSE),0))</f>
        <v/>
      </c>
      <c r="I408" s="13">
        <f>IF(C408="","",ROUND(E408*H408,2))</f>
        <v/>
      </c>
      <c r="J408" s="11" t="n"/>
      <c r="K408" s="11" t="n"/>
      <c r="L408" s="13">
        <f>IF(C408="","",ROUND(G408-I408-J408-K408,2))</f>
        <v/>
      </c>
      <c r="M408" s="10" t="n"/>
      <c r="N408" s="10" t="n"/>
      <c r="O408" s="12">
        <f>IF(C408="","",IFERROR(VLOOKUP(C408,Inventory!$A$2:$B$501,2,FALSE),"Unknown lot"))</f>
        <v/>
      </c>
      <c r="P408" s="12">
        <f>IF(D408="","",IFERROR(VLOOKUP(D408,Clients!$A$2:$B$501,2,FALSE),"Unknown client"))</f>
        <v/>
      </c>
      <c r="Q408" s="12">
        <f>IF(C408="","",IF(COUNTIF(Inventory!$A$2:$A$501,C408)&lt;&gt;1,"Check lot ID",IF(OR(A408="",B408="",E408="",F408=""),"Complete required fields",IF(COUNTIF($B$2:$B$501,B408)&gt;1,"Duplicate sale ID",IF(AND(D408&lt;&gt;"",COUNTIF(Clients!$A$2:$A$501,D408)&lt;&gt;1),"Check client ID",IF(VLOOKUP(C408,Inventory!$A$2:$L$501,12,FALSE)&lt;0,"OVER SOLD","OK"))))))</f>
        <v/>
      </c>
    </row>
    <row r="409" ht="23" customHeight="1">
      <c r="A409" s="18" t="n"/>
      <c r="B409" s="14" t="n"/>
      <c r="C409" s="14" t="n"/>
      <c r="D409" s="14" t="n"/>
      <c r="E409" s="15" t="n"/>
      <c r="F409" s="16" t="n"/>
      <c r="G409" s="13">
        <f>IF(C409="","",ROUND(E409*F409,2))</f>
        <v/>
      </c>
      <c r="H409" s="13">
        <f>IF(C409="","",IFERROR(VLOOKUP(C409,Inventory!$A$2:$J$501,9,FALSE),0))</f>
        <v/>
      </c>
      <c r="I409" s="13">
        <f>IF(C409="","",ROUND(E409*H409,2))</f>
        <v/>
      </c>
      <c r="J409" s="16" t="n"/>
      <c r="K409" s="16" t="n"/>
      <c r="L409" s="13">
        <f>IF(C409="","",ROUND(G409-I409-J409-K409,2))</f>
        <v/>
      </c>
      <c r="M409" s="15" t="n"/>
      <c r="N409" s="15" t="n"/>
      <c r="O409" s="12">
        <f>IF(C409="","",IFERROR(VLOOKUP(C409,Inventory!$A$2:$B$501,2,FALSE),"Unknown lot"))</f>
        <v/>
      </c>
      <c r="P409" s="12">
        <f>IF(D409="","",IFERROR(VLOOKUP(D409,Clients!$A$2:$B$501,2,FALSE),"Unknown client"))</f>
        <v/>
      </c>
      <c r="Q409" s="12">
        <f>IF(C409="","",IF(COUNTIF(Inventory!$A$2:$A$501,C409)&lt;&gt;1,"Check lot ID",IF(OR(A409="",B409="",E409="",F409=""),"Complete required fields",IF(COUNTIF($B$2:$B$501,B409)&gt;1,"Duplicate sale ID",IF(AND(D409&lt;&gt;"",COUNTIF(Clients!$A$2:$A$501,D409)&lt;&gt;1),"Check client ID",IF(VLOOKUP(C409,Inventory!$A$2:$L$501,12,FALSE)&lt;0,"OVER SOLD","OK"))))))</f>
        <v/>
      </c>
    </row>
    <row r="410" ht="23" customHeight="1">
      <c r="A410" s="17" t="n"/>
      <c r="B410" s="9" t="n"/>
      <c r="C410" s="9" t="n"/>
      <c r="D410" s="9" t="n"/>
      <c r="E410" s="10" t="n"/>
      <c r="F410" s="11" t="n"/>
      <c r="G410" s="13">
        <f>IF(C410="","",ROUND(E410*F410,2))</f>
        <v/>
      </c>
      <c r="H410" s="13">
        <f>IF(C410="","",IFERROR(VLOOKUP(C410,Inventory!$A$2:$J$501,9,FALSE),0))</f>
        <v/>
      </c>
      <c r="I410" s="13">
        <f>IF(C410="","",ROUND(E410*H410,2))</f>
        <v/>
      </c>
      <c r="J410" s="11" t="n"/>
      <c r="K410" s="11" t="n"/>
      <c r="L410" s="13">
        <f>IF(C410="","",ROUND(G410-I410-J410-K410,2))</f>
        <v/>
      </c>
      <c r="M410" s="10" t="n"/>
      <c r="N410" s="10" t="n"/>
      <c r="O410" s="12">
        <f>IF(C410="","",IFERROR(VLOOKUP(C410,Inventory!$A$2:$B$501,2,FALSE),"Unknown lot"))</f>
        <v/>
      </c>
      <c r="P410" s="12">
        <f>IF(D410="","",IFERROR(VLOOKUP(D410,Clients!$A$2:$B$501,2,FALSE),"Unknown client"))</f>
        <v/>
      </c>
      <c r="Q410" s="12">
        <f>IF(C410="","",IF(COUNTIF(Inventory!$A$2:$A$501,C410)&lt;&gt;1,"Check lot ID",IF(OR(A410="",B410="",E410="",F410=""),"Complete required fields",IF(COUNTIF($B$2:$B$501,B410)&gt;1,"Duplicate sale ID",IF(AND(D410&lt;&gt;"",COUNTIF(Clients!$A$2:$A$501,D410)&lt;&gt;1),"Check client ID",IF(VLOOKUP(C410,Inventory!$A$2:$L$501,12,FALSE)&lt;0,"OVER SOLD","OK"))))))</f>
        <v/>
      </c>
    </row>
    <row r="411" ht="23" customHeight="1">
      <c r="A411" s="18" t="n"/>
      <c r="B411" s="14" t="n"/>
      <c r="C411" s="14" t="n"/>
      <c r="D411" s="14" t="n"/>
      <c r="E411" s="15" t="n"/>
      <c r="F411" s="16" t="n"/>
      <c r="G411" s="13">
        <f>IF(C411="","",ROUND(E411*F411,2))</f>
        <v/>
      </c>
      <c r="H411" s="13">
        <f>IF(C411="","",IFERROR(VLOOKUP(C411,Inventory!$A$2:$J$501,9,FALSE),0))</f>
        <v/>
      </c>
      <c r="I411" s="13">
        <f>IF(C411="","",ROUND(E411*H411,2))</f>
        <v/>
      </c>
      <c r="J411" s="16" t="n"/>
      <c r="K411" s="16" t="n"/>
      <c r="L411" s="13">
        <f>IF(C411="","",ROUND(G411-I411-J411-K411,2))</f>
        <v/>
      </c>
      <c r="M411" s="15" t="n"/>
      <c r="N411" s="15" t="n"/>
      <c r="O411" s="12">
        <f>IF(C411="","",IFERROR(VLOOKUP(C411,Inventory!$A$2:$B$501,2,FALSE),"Unknown lot"))</f>
        <v/>
      </c>
      <c r="P411" s="12">
        <f>IF(D411="","",IFERROR(VLOOKUP(D411,Clients!$A$2:$B$501,2,FALSE),"Unknown client"))</f>
        <v/>
      </c>
      <c r="Q411" s="12">
        <f>IF(C411="","",IF(COUNTIF(Inventory!$A$2:$A$501,C411)&lt;&gt;1,"Check lot ID",IF(OR(A411="",B411="",E411="",F411=""),"Complete required fields",IF(COUNTIF($B$2:$B$501,B411)&gt;1,"Duplicate sale ID",IF(AND(D411&lt;&gt;"",COUNTIF(Clients!$A$2:$A$501,D411)&lt;&gt;1),"Check client ID",IF(VLOOKUP(C411,Inventory!$A$2:$L$501,12,FALSE)&lt;0,"OVER SOLD","OK"))))))</f>
        <v/>
      </c>
    </row>
    <row r="412" ht="23" customHeight="1">
      <c r="A412" s="17" t="n"/>
      <c r="B412" s="9" t="n"/>
      <c r="C412" s="9" t="n"/>
      <c r="D412" s="9" t="n"/>
      <c r="E412" s="10" t="n"/>
      <c r="F412" s="11" t="n"/>
      <c r="G412" s="13">
        <f>IF(C412="","",ROUND(E412*F412,2))</f>
        <v/>
      </c>
      <c r="H412" s="13">
        <f>IF(C412="","",IFERROR(VLOOKUP(C412,Inventory!$A$2:$J$501,9,FALSE),0))</f>
        <v/>
      </c>
      <c r="I412" s="13">
        <f>IF(C412="","",ROUND(E412*H412,2))</f>
        <v/>
      </c>
      <c r="J412" s="11" t="n"/>
      <c r="K412" s="11" t="n"/>
      <c r="L412" s="13">
        <f>IF(C412="","",ROUND(G412-I412-J412-K412,2))</f>
        <v/>
      </c>
      <c r="M412" s="10" t="n"/>
      <c r="N412" s="10" t="n"/>
      <c r="O412" s="12">
        <f>IF(C412="","",IFERROR(VLOOKUP(C412,Inventory!$A$2:$B$501,2,FALSE),"Unknown lot"))</f>
        <v/>
      </c>
      <c r="P412" s="12">
        <f>IF(D412="","",IFERROR(VLOOKUP(D412,Clients!$A$2:$B$501,2,FALSE),"Unknown client"))</f>
        <v/>
      </c>
      <c r="Q412" s="12">
        <f>IF(C412="","",IF(COUNTIF(Inventory!$A$2:$A$501,C412)&lt;&gt;1,"Check lot ID",IF(OR(A412="",B412="",E412="",F412=""),"Complete required fields",IF(COUNTIF($B$2:$B$501,B412)&gt;1,"Duplicate sale ID",IF(AND(D412&lt;&gt;"",COUNTIF(Clients!$A$2:$A$501,D412)&lt;&gt;1),"Check client ID",IF(VLOOKUP(C412,Inventory!$A$2:$L$501,12,FALSE)&lt;0,"OVER SOLD","OK"))))))</f>
        <v/>
      </c>
    </row>
    <row r="413" ht="23" customHeight="1">
      <c r="A413" s="18" t="n"/>
      <c r="B413" s="14" t="n"/>
      <c r="C413" s="14" t="n"/>
      <c r="D413" s="14" t="n"/>
      <c r="E413" s="15" t="n"/>
      <c r="F413" s="16" t="n"/>
      <c r="G413" s="13">
        <f>IF(C413="","",ROUND(E413*F413,2))</f>
        <v/>
      </c>
      <c r="H413" s="13">
        <f>IF(C413="","",IFERROR(VLOOKUP(C413,Inventory!$A$2:$J$501,9,FALSE),0))</f>
        <v/>
      </c>
      <c r="I413" s="13">
        <f>IF(C413="","",ROUND(E413*H413,2))</f>
        <v/>
      </c>
      <c r="J413" s="16" t="n"/>
      <c r="K413" s="16" t="n"/>
      <c r="L413" s="13">
        <f>IF(C413="","",ROUND(G413-I413-J413-K413,2))</f>
        <v/>
      </c>
      <c r="M413" s="15" t="n"/>
      <c r="N413" s="15" t="n"/>
      <c r="O413" s="12">
        <f>IF(C413="","",IFERROR(VLOOKUP(C413,Inventory!$A$2:$B$501,2,FALSE),"Unknown lot"))</f>
        <v/>
      </c>
      <c r="P413" s="12">
        <f>IF(D413="","",IFERROR(VLOOKUP(D413,Clients!$A$2:$B$501,2,FALSE),"Unknown client"))</f>
        <v/>
      </c>
      <c r="Q413" s="12">
        <f>IF(C413="","",IF(COUNTIF(Inventory!$A$2:$A$501,C413)&lt;&gt;1,"Check lot ID",IF(OR(A413="",B413="",E413="",F413=""),"Complete required fields",IF(COUNTIF($B$2:$B$501,B413)&gt;1,"Duplicate sale ID",IF(AND(D413&lt;&gt;"",COUNTIF(Clients!$A$2:$A$501,D413)&lt;&gt;1),"Check client ID",IF(VLOOKUP(C413,Inventory!$A$2:$L$501,12,FALSE)&lt;0,"OVER SOLD","OK"))))))</f>
        <v/>
      </c>
    </row>
    <row r="414" ht="23" customHeight="1">
      <c r="A414" s="17" t="n"/>
      <c r="B414" s="9" t="n"/>
      <c r="C414" s="9" t="n"/>
      <c r="D414" s="9" t="n"/>
      <c r="E414" s="10" t="n"/>
      <c r="F414" s="11" t="n"/>
      <c r="G414" s="13">
        <f>IF(C414="","",ROUND(E414*F414,2))</f>
        <v/>
      </c>
      <c r="H414" s="13">
        <f>IF(C414="","",IFERROR(VLOOKUP(C414,Inventory!$A$2:$J$501,9,FALSE),0))</f>
        <v/>
      </c>
      <c r="I414" s="13">
        <f>IF(C414="","",ROUND(E414*H414,2))</f>
        <v/>
      </c>
      <c r="J414" s="11" t="n"/>
      <c r="K414" s="11" t="n"/>
      <c r="L414" s="13">
        <f>IF(C414="","",ROUND(G414-I414-J414-K414,2))</f>
        <v/>
      </c>
      <c r="M414" s="10" t="n"/>
      <c r="N414" s="10" t="n"/>
      <c r="O414" s="12">
        <f>IF(C414="","",IFERROR(VLOOKUP(C414,Inventory!$A$2:$B$501,2,FALSE),"Unknown lot"))</f>
        <v/>
      </c>
      <c r="P414" s="12">
        <f>IF(D414="","",IFERROR(VLOOKUP(D414,Clients!$A$2:$B$501,2,FALSE),"Unknown client"))</f>
        <v/>
      </c>
      <c r="Q414" s="12">
        <f>IF(C414="","",IF(COUNTIF(Inventory!$A$2:$A$501,C414)&lt;&gt;1,"Check lot ID",IF(OR(A414="",B414="",E414="",F414=""),"Complete required fields",IF(COUNTIF($B$2:$B$501,B414)&gt;1,"Duplicate sale ID",IF(AND(D414&lt;&gt;"",COUNTIF(Clients!$A$2:$A$501,D414)&lt;&gt;1),"Check client ID",IF(VLOOKUP(C414,Inventory!$A$2:$L$501,12,FALSE)&lt;0,"OVER SOLD","OK"))))))</f>
        <v/>
      </c>
    </row>
    <row r="415" ht="23" customHeight="1">
      <c r="A415" s="18" t="n"/>
      <c r="B415" s="14" t="n"/>
      <c r="C415" s="14" t="n"/>
      <c r="D415" s="14" t="n"/>
      <c r="E415" s="15" t="n"/>
      <c r="F415" s="16" t="n"/>
      <c r="G415" s="13">
        <f>IF(C415="","",ROUND(E415*F415,2))</f>
        <v/>
      </c>
      <c r="H415" s="13">
        <f>IF(C415="","",IFERROR(VLOOKUP(C415,Inventory!$A$2:$J$501,9,FALSE),0))</f>
        <v/>
      </c>
      <c r="I415" s="13">
        <f>IF(C415="","",ROUND(E415*H415,2))</f>
        <v/>
      </c>
      <c r="J415" s="16" t="n"/>
      <c r="K415" s="16" t="n"/>
      <c r="L415" s="13">
        <f>IF(C415="","",ROUND(G415-I415-J415-K415,2))</f>
        <v/>
      </c>
      <c r="M415" s="15" t="n"/>
      <c r="N415" s="15" t="n"/>
      <c r="O415" s="12">
        <f>IF(C415="","",IFERROR(VLOOKUP(C415,Inventory!$A$2:$B$501,2,FALSE),"Unknown lot"))</f>
        <v/>
      </c>
      <c r="P415" s="12">
        <f>IF(D415="","",IFERROR(VLOOKUP(D415,Clients!$A$2:$B$501,2,FALSE),"Unknown client"))</f>
        <v/>
      </c>
      <c r="Q415" s="12">
        <f>IF(C415="","",IF(COUNTIF(Inventory!$A$2:$A$501,C415)&lt;&gt;1,"Check lot ID",IF(OR(A415="",B415="",E415="",F415=""),"Complete required fields",IF(COUNTIF($B$2:$B$501,B415)&gt;1,"Duplicate sale ID",IF(AND(D415&lt;&gt;"",COUNTIF(Clients!$A$2:$A$501,D415)&lt;&gt;1),"Check client ID",IF(VLOOKUP(C415,Inventory!$A$2:$L$501,12,FALSE)&lt;0,"OVER SOLD","OK"))))))</f>
        <v/>
      </c>
    </row>
    <row r="416" ht="23" customHeight="1">
      <c r="A416" s="17" t="n"/>
      <c r="B416" s="9" t="n"/>
      <c r="C416" s="9" t="n"/>
      <c r="D416" s="9" t="n"/>
      <c r="E416" s="10" t="n"/>
      <c r="F416" s="11" t="n"/>
      <c r="G416" s="13">
        <f>IF(C416="","",ROUND(E416*F416,2))</f>
        <v/>
      </c>
      <c r="H416" s="13">
        <f>IF(C416="","",IFERROR(VLOOKUP(C416,Inventory!$A$2:$J$501,9,FALSE),0))</f>
        <v/>
      </c>
      <c r="I416" s="13">
        <f>IF(C416="","",ROUND(E416*H416,2))</f>
        <v/>
      </c>
      <c r="J416" s="11" t="n"/>
      <c r="K416" s="11" t="n"/>
      <c r="L416" s="13">
        <f>IF(C416="","",ROUND(G416-I416-J416-K416,2))</f>
        <v/>
      </c>
      <c r="M416" s="10" t="n"/>
      <c r="N416" s="10" t="n"/>
      <c r="O416" s="12">
        <f>IF(C416="","",IFERROR(VLOOKUP(C416,Inventory!$A$2:$B$501,2,FALSE),"Unknown lot"))</f>
        <v/>
      </c>
      <c r="P416" s="12">
        <f>IF(D416="","",IFERROR(VLOOKUP(D416,Clients!$A$2:$B$501,2,FALSE),"Unknown client"))</f>
        <v/>
      </c>
      <c r="Q416" s="12">
        <f>IF(C416="","",IF(COUNTIF(Inventory!$A$2:$A$501,C416)&lt;&gt;1,"Check lot ID",IF(OR(A416="",B416="",E416="",F416=""),"Complete required fields",IF(COUNTIF($B$2:$B$501,B416)&gt;1,"Duplicate sale ID",IF(AND(D416&lt;&gt;"",COUNTIF(Clients!$A$2:$A$501,D416)&lt;&gt;1),"Check client ID",IF(VLOOKUP(C416,Inventory!$A$2:$L$501,12,FALSE)&lt;0,"OVER SOLD","OK"))))))</f>
        <v/>
      </c>
    </row>
    <row r="417" ht="23" customHeight="1">
      <c r="A417" s="18" t="n"/>
      <c r="B417" s="14" t="n"/>
      <c r="C417" s="14" t="n"/>
      <c r="D417" s="14" t="n"/>
      <c r="E417" s="15" t="n"/>
      <c r="F417" s="16" t="n"/>
      <c r="G417" s="13">
        <f>IF(C417="","",ROUND(E417*F417,2))</f>
        <v/>
      </c>
      <c r="H417" s="13">
        <f>IF(C417="","",IFERROR(VLOOKUP(C417,Inventory!$A$2:$J$501,9,FALSE),0))</f>
        <v/>
      </c>
      <c r="I417" s="13">
        <f>IF(C417="","",ROUND(E417*H417,2))</f>
        <v/>
      </c>
      <c r="J417" s="16" t="n"/>
      <c r="K417" s="16" t="n"/>
      <c r="L417" s="13">
        <f>IF(C417="","",ROUND(G417-I417-J417-K417,2))</f>
        <v/>
      </c>
      <c r="M417" s="15" t="n"/>
      <c r="N417" s="15" t="n"/>
      <c r="O417" s="12">
        <f>IF(C417="","",IFERROR(VLOOKUP(C417,Inventory!$A$2:$B$501,2,FALSE),"Unknown lot"))</f>
        <v/>
      </c>
      <c r="P417" s="12">
        <f>IF(D417="","",IFERROR(VLOOKUP(D417,Clients!$A$2:$B$501,2,FALSE),"Unknown client"))</f>
        <v/>
      </c>
      <c r="Q417" s="12">
        <f>IF(C417="","",IF(COUNTIF(Inventory!$A$2:$A$501,C417)&lt;&gt;1,"Check lot ID",IF(OR(A417="",B417="",E417="",F417=""),"Complete required fields",IF(COUNTIF($B$2:$B$501,B417)&gt;1,"Duplicate sale ID",IF(AND(D417&lt;&gt;"",COUNTIF(Clients!$A$2:$A$501,D417)&lt;&gt;1),"Check client ID",IF(VLOOKUP(C417,Inventory!$A$2:$L$501,12,FALSE)&lt;0,"OVER SOLD","OK"))))))</f>
        <v/>
      </c>
    </row>
    <row r="418" ht="23" customHeight="1">
      <c r="A418" s="17" t="n"/>
      <c r="B418" s="9" t="n"/>
      <c r="C418" s="9" t="n"/>
      <c r="D418" s="9" t="n"/>
      <c r="E418" s="10" t="n"/>
      <c r="F418" s="11" t="n"/>
      <c r="G418" s="13">
        <f>IF(C418="","",ROUND(E418*F418,2))</f>
        <v/>
      </c>
      <c r="H418" s="13">
        <f>IF(C418="","",IFERROR(VLOOKUP(C418,Inventory!$A$2:$J$501,9,FALSE),0))</f>
        <v/>
      </c>
      <c r="I418" s="13">
        <f>IF(C418="","",ROUND(E418*H418,2))</f>
        <v/>
      </c>
      <c r="J418" s="11" t="n"/>
      <c r="K418" s="11" t="n"/>
      <c r="L418" s="13">
        <f>IF(C418="","",ROUND(G418-I418-J418-K418,2))</f>
        <v/>
      </c>
      <c r="M418" s="10" t="n"/>
      <c r="N418" s="10" t="n"/>
      <c r="O418" s="12">
        <f>IF(C418="","",IFERROR(VLOOKUP(C418,Inventory!$A$2:$B$501,2,FALSE),"Unknown lot"))</f>
        <v/>
      </c>
      <c r="P418" s="12">
        <f>IF(D418="","",IFERROR(VLOOKUP(D418,Clients!$A$2:$B$501,2,FALSE),"Unknown client"))</f>
        <v/>
      </c>
      <c r="Q418" s="12">
        <f>IF(C418="","",IF(COUNTIF(Inventory!$A$2:$A$501,C418)&lt;&gt;1,"Check lot ID",IF(OR(A418="",B418="",E418="",F418=""),"Complete required fields",IF(COUNTIF($B$2:$B$501,B418)&gt;1,"Duplicate sale ID",IF(AND(D418&lt;&gt;"",COUNTIF(Clients!$A$2:$A$501,D418)&lt;&gt;1),"Check client ID",IF(VLOOKUP(C418,Inventory!$A$2:$L$501,12,FALSE)&lt;0,"OVER SOLD","OK"))))))</f>
        <v/>
      </c>
    </row>
    <row r="419" ht="23" customHeight="1">
      <c r="A419" s="18" t="n"/>
      <c r="B419" s="14" t="n"/>
      <c r="C419" s="14" t="n"/>
      <c r="D419" s="14" t="n"/>
      <c r="E419" s="15" t="n"/>
      <c r="F419" s="16" t="n"/>
      <c r="G419" s="13">
        <f>IF(C419="","",ROUND(E419*F419,2))</f>
        <v/>
      </c>
      <c r="H419" s="13">
        <f>IF(C419="","",IFERROR(VLOOKUP(C419,Inventory!$A$2:$J$501,9,FALSE),0))</f>
        <v/>
      </c>
      <c r="I419" s="13">
        <f>IF(C419="","",ROUND(E419*H419,2))</f>
        <v/>
      </c>
      <c r="J419" s="16" t="n"/>
      <c r="K419" s="16" t="n"/>
      <c r="L419" s="13">
        <f>IF(C419="","",ROUND(G419-I419-J419-K419,2))</f>
        <v/>
      </c>
      <c r="M419" s="15" t="n"/>
      <c r="N419" s="15" t="n"/>
      <c r="O419" s="12">
        <f>IF(C419="","",IFERROR(VLOOKUP(C419,Inventory!$A$2:$B$501,2,FALSE),"Unknown lot"))</f>
        <v/>
      </c>
      <c r="P419" s="12">
        <f>IF(D419="","",IFERROR(VLOOKUP(D419,Clients!$A$2:$B$501,2,FALSE),"Unknown client"))</f>
        <v/>
      </c>
      <c r="Q419" s="12">
        <f>IF(C419="","",IF(COUNTIF(Inventory!$A$2:$A$501,C419)&lt;&gt;1,"Check lot ID",IF(OR(A419="",B419="",E419="",F419=""),"Complete required fields",IF(COUNTIF($B$2:$B$501,B419)&gt;1,"Duplicate sale ID",IF(AND(D419&lt;&gt;"",COUNTIF(Clients!$A$2:$A$501,D419)&lt;&gt;1),"Check client ID",IF(VLOOKUP(C419,Inventory!$A$2:$L$501,12,FALSE)&lt;0,"OVER SOLD","OK"))))))</f>
        <v/>
      </c>
    </row>
    <row r="420" ht="23" customHeight="1">
      <c r="A420" s="17" t="n"/>
      <c r="B420" s="9" t="n"/>
      <c r="C420" s="9" t="n"/>
      <c r="D420" s="9" t="n"/>
      <c r="E420" s="10" t="n"/>
      <c r="F420" s="11" t="n"/>
      <c r="G420" s="13">
        <f>IF(C420="","",ROUND(E420*F420,2))</f>
        <v/>
      </c>
      <c r="H420" s="13">
        <f>IF(C420="","",IFERROR(VLOOKUP(C420,Inventory!$A$2:$J$501,9,FALSE),0))</f>
        <v/>
      </c>
      <c r="I420" s="13">
        <f>IF(C420="","",ROUND(E420*H420,2))</f>
        <v/>
      </c>
      <c r="J420" s="11" t="n"/>
      <c r="K420" s="11" t="n"/>
      <c r="L420" s="13">
        <f>IF(C420="","",ROUND(G420-I420-J420-K420,2))</f>
        <v/>
      </c>
      <c r="M420" s="10" t="n"/>
      <c r="N420" s="10" t="n"/>
      <c r="O420" s="12">
        <f>IF(C420="","",IFERROR(VLOOKUP(C420,Inventory!$A$2:$B$501,2,FALSE),"Unknown lot"))</f>
        <v/>
      </c>
      <c r="P420" s="12">
        <f>IF(D420="","",IFERROR(VLOOKUP(D420,Clients!$A$2:$B$501,2,FALSE),"Unknown client"))</f>
        <v/>
      </c>
      <c r="Q420" s="12">
        <f>IF(C420="","",IF(COUNTIF(Inventory!$A$2:$A$501,C420)&lt;&gt;1,"Check lot ID",IF(OR(A420="",B420="",E420="",F420=""),"Complete required fields",IF(COUNTIF($B$2:$B$501,B420)&gt;1,"Duplicate sale ID",IF(AND(D420&lt;&gt;"",COUNTIF(Clients!$A$2:$A$501,D420)&lt;&gt;1),"Check client ID",IF(VLOOKUP(C420,Inventory!$A$2:$L$501,12,FALSE)&lt;0,"OVER SOLD","OK"))))))</f>
        <v/>
      </c>
    </row>
    <row r="421" ht="23" customHeight="1">
      <c r="A421" s="18" t="n"/>
      <c r="B421" s="14" t="n"/>
      <c r="C421" s="14" t="n"/>
      <c r="D421" s="14" t="n"/>
      <c r="E421" s="15" t="n"/>
      <c r="F421" s="16" t="n"/>
      <c r="G421" s="13">
        <f>IF(C421="","",ROUND(E421*F421,2))</f>
        <v/>
      </c>
      <c r="H421" s="13">
        <f>IF(C421="","",IFERROR(VLOOKUP(C421,Inventory!$A$2:$J$501,9,FALSE),0))</f>
        <v/>
      </c>
      <c r="I421" s="13">
        <f>IF(C421="","",ROUND(E421*H421,2))</f>
        <v/>
      </c>
      <c r="J421" s="16" t="n"/>
      <c r="K421" s="16" t="n"/>
      <c r="L421" s="13">
        <f>IF(C421="","",ROUND(G421-I421-J421-K421,2))</f>
        <v/>
      </c>
      <c r="M421" s="15" t="n"/>
      <c r="N421" s="15" t="n"/>
      <c r="O421" s="12">
        <f>IF(C421="","",IFERROR(VLOOKUP(C421,Inventory!$A$2:$B$501,2,FALSE),"Unknown lot"))</f>
        <v/>
      </c>
      <c r="P421" s="12">
        <f>IF(D421="","",IFERROR(VLOOKUP(D421,Clients!$A$2:$B$501,2,FALSE),"Unknown client"))</f>
        <v/>
      </c>
      <c r="Q421" s="12">
        <f>IF(C421="","",IF(COUNTIF(Inventory!$A$2:$A$501,C421)&lt;&gt;1,"Check lot ID",IF(OR(A421="",B421="",E421="",F421=""),"Complete required fields",IF(COUNTIF($B$2:$B$501,B421)&gt;1,"Duplicate sale ID",IF(AND(D421&lt;&gt;"",COUNTIF(Clients!$A$2:$A$501,D421)&lt;&gt;1),"Check client ID",IF(VLOOKUP(C421,Inventory!$A$2:$L$501,12,FALSE)&lt;0,"OVER SOLD","OK"))))))</f>
        <v/>
      </c>
    </row>
    <row r="422" ht="23" customHeight="1">
      <c r="A422" s="17" t="n"/>
      <c r="B422" s="9" t="n"/>
      <c r="C422" s="9" t="n"/>
      <c r="D422" s="9" t="n"/>
      <c r="E422" s="10" t="n"/>
      <c r="F422" s="11" t="n"/>
      <c r="G422" s="13">
        <f>IF(C422="","",ROUND(E422*F422,2))</f>
        <v/>
      </c>
      <c r="H422" s="13">
        <f>IF(C422="","",IFERROR(VLOOKUP(C422,Inventory!$A$2:$J$501,9,FALSE),0))</f>
        <v/>
      </c>
      <c r="I422" s="13">
        <f>IF(C422="","",ROUND(E422*H422,2))</f>
        <v/>
      </c>
      <c r="J422" s="11" t="n"/>
      <c r="K422" s="11" t="n"/>
      <c r="L422" s="13">
        <f>IF(C422="","",ROUND(G422-I422-J422-K422,2))</f>
        <v/>
      </c>
      <c r="M422" s="10" t="n"/>
      <c r="N422" s="10" t="n"/>
      <c r="O422" s="12">
        <f>IF(C422="","",IFERROR(VLOOKUP(C422,Inventory!$A$2:$B$501,2,FALSE),"Unknown lot"))</f>
        <v/>
      </c>
      <c r="P422" s="12">
        <f>IF(D422="","",IFERROR(VLOOKUP(D422,Clients!$A$2:$B$501,2,FALSE),"Unknown client"))</f>
        <v/>
      </c>
      <c r="Q422" s="12">
        <f>IF(C422="","",IF(COUNTIF(Inventory!$A$2:$A$501,C422)&lt;&gt;1,"Check lot ID",IF(OR(A422="",B422="",E422="",F422=""),"Complete required fields",IF(COUNTIF($B$2:$B$501,B422)&gt;1,"Duplicate sale ID",IF(AND(D422&lt;&gt;"",COUNTIF(Clients!$A$2:$A$501,D422)&lt;&gt;1),"Check client ID",IF(VLOOKUP(C422,Inventory!$A$2:$L$501,12,FALSE)&lt;0,"OVER SOLD","OK"))))))</f>
        <v/>
      </c>
    </row>
    <row r="423" ht="23" customHeight="1">
      <c r="A423" s="18" t="n"/>
      <c r="B423" s="14" t="n"/>
      <c r="C423" s="14" t="n"/>
      <c r="D423" s="14" t="n"/>
      <c r="E423" s="15" t="n"/>
      <c r="F423" s="16" t="n"/>
      <c r="G423" s="13">
        <f>IF(C423="","",ROUND(E423*F423,2))</f>
        <v/>
      </c>
      <c r="H423" s="13">
        <f>IF(C423="","",IFERROR(VLOOKUP(C423,Inventory!$A$2:$J$501,9,FALSE),0))</f>
        <v/>
      </c>
      <c r="I423" s="13">
        <f>IF(C423="","",ROUND(E423*H423,2))</f>
        <v/>
      </c>
      <c r="J423" s="16" t="n"/>
      <c r="K423" s="16" t="n"/>
      <c r="L423" s="13">
        <f>IF(C423="","",ROUND(G423-I423-J423-K423,2))</f>
        <v/>
      </c>
      <c r="M423" s="15" t="n"/>
      <c r="N423" s="15" t="n"/>
      <c r="O423" s="12">
        <f>IF(C423="","",IFERROR(VLOOKUP(C423,Inventory!$A$2:$B$501,2,FALSE),"Unknown lot"))</f>
        <v/>
      </c>
      <c r="P423" s="12">
        <f>IF(D423="","",IFERROR(VLOOKUP(D423,Clients!$A$2:$B$501,2,FALSE),"Unknown client"))</f>
        <v/>
      </c>
      <c r="Q423" s="12">
        <f>IF(C423="","",IF(COUNTIF(Inventory!$A$2:$A$501,C423)&lt;&gt;1,"Check lot ID",IF(OR(A423="",B423="",E423="",F423=""),"Complete required fields",IF(COUNTIF($B$2:$B$501,B423)&gt;1,"Duplicate sale ID",IF(AND(D423&lt;&gt;"",COUNTIF(Clients!$A$2:$A$501,D423)&lt;&gt;1),"Check client ID",IF(VLOOKUP(C423,Inventory!$A$2:$L$501,12,FALSE)&lt;0,"OVER SOLD","OK"))))))</f>
        <v/>
      </c>
    </row>
    <row r="424" ht="23" customHeight="1">
      <c r="A424" s="17" t="n"/>
      <c r="B424" s="9" t="n"/>
      <c r="C424" s="9" t="n"/>
      <c r="D424" s="9" t="n"/>
      <c r="E424" s="10" t="n"/>
      <c r="F424" s="11" t="n"/>
      <c r="G424" s="13">
        <f>IF(C424="","",ROUND(E424*F424,2))</f>
        <v/>
      </c>
      <c r="H424" s="13">
        <f>IF(C424="","",IFERROR(VLOOKUP(C424,Inventory!$A$2:$J$501,9,FALSE),0))</f>
        <v/>
      </c>
      <c r="I424" s="13">
        <f>IF(C424="","",ROUND(E424*H424,2))</f>
        <v/>
      </c>
      <c r="J424" s="11" t="n"/>
      <c r="K424" s="11" t="n"/>
      <c r="L424" s="13">
        <f>IF(C424="","",ROUND(G424-I424-J424-K424,2))</f>
        <v/>
      </c>
      <c r="M424" s="10" t="n"/>
      <c r="N424" s="10" t="n"/>
      <c r="O424" s="12">
        <f>IF(C424="","",IFERROR(VLOOKUP(C424,Inventory!$A$2:$B$501,2,FALSE),"Unknown lot"))</f>
        <v/>
      </c>
      <c r="P424" s="12">
        <f>IF(D424="","",IFERROR(VLOOKUP(D424,Clients!$A$2:$B$501,2,FALSE),"Unknown client"))</f>
        <v/>
      </c>
      <c r="Q424" s="12">
        <f>IF(C424="","",IF(COUNTIF(Inventory!$A$2:$A$501,C424)&lt;&gt;1,"Check lot ID",IF(OR(A424="",B424="",E424="",F424=""),"Complete required fields",IF(COUNTIF($B$2:$B$501,B424)&gt;1,"Duplicate sale ID",IF(AND(D424&lt;&gt;"",COUNTIF(Clients!$A$2:$A$501,D424)&lt;&gt;1),"Check client ID",IF(VLOOKUP(C424,Inventory!$A$2:$L$501,12,FALSE)&lt;0,"OVER SOLD","OK"))))))</f>
        <v/>
      </c>
    </row>
    <row r="425" ht="23" customHeight="1">
      <c r="A425" s="18" t="n"/>
      <c r="B425" s="14" t="n"/>
      <c r="C425" s="14" t="n"/>
      <c r="D425" s="14" t="n"/>
      <c r="E425" s="15" t="n"/>
      <c r="F425" s="16" t="n"/>
      <c r="G425" s="13">
        <f>IF(C425="","",ROUND(E425*F425,2))</f>
        <v/>
      </c>
      <c r="H425" s="13">
        <f>IF(C425="","",IFERROR(VLOOKUP(C425,Inventory!$A$2:$J$501,9,FALSE),0))</f>
        <v/>
      </c>
      <c r="I425" s="13">
        <f>IF(C425="","",ROUND(E425*H425,2))</f>
        <v/>
      </c>
      <c r="J425" s="16" t="n"/>
      <c r="K425" s="16" t="n"/>
      <c r="L425" s="13">
        <f>IF(C425="","",ROUND(G425-I425-J425-K425,2))</f>
        <v/>
      </c>
      <c r="M425" s="15" t="n"/>
      <c r="N425" s="15" t="n"/>
      <c r="O425" s="12">
        <f>IF(C425="","",IFERROR(VLOOKUP(C425,Inventory!$A$2:$B$501,2,FALSE),"Unknown lot"))</f>
        <v/>
      </c>
      <c r="P425" s="12">
        <f>IF(D425="","",IFERROR(VLOOKUP(D425,Clients!$A$2:$B$501,2,FALSE),"Unknown client"))</f>
        <v/>
      </c>
      <c r="Q425" s="12">
        <f>IF(C425="","",IF(COUNTIF(Inventory!$A$2:$A$501,C425)&lt;&gt;1,"Check lot ID",IF(OR(A425="",B425="",E425="",F425=""),"Complete required fields",IF(COUNTIF($B$2:$B$501,B425)&gt;1,"Duplicate sale ID",IF(AND(D425&lt;&gt;"",COUNTIF(Clients!$A$2:$A$501,D425)&lt;&gt;1),"Check client ID",IF(VLOOKUP(C425,Inventory!$A$2:$L$501,12,FALSE)&lt;0,"OVER SOLD","OK"))))))</f>
        <v/>
      </c>
    </row>
    <row r="426" ht="23" customHeight="1">
      <c r="A426" s="17" t="n"/>
      <c r="B426" s="9" t="n"/>
      <c r="C426" s="9" t="n"/>
      <c r="D426" s="9" t="n"/>
      <c r="E426" s="10" t="n"/>
      <c r="F426" s="11" t="n"/>
      <c r="G426" s="13">
        <f>IF(C426="","",ROUND(E426*F426,2))</f>
        <v/>
      </c>
      <c r="H426" s="13">
        <f>IF(C426="","",IFERROR(VLOOKUP(C426,Inventory!$A$2:$J$501,9,FALSE),0))</f>
        <v/>
      </c>
      <c r="I426" s="13">
        <f>IF(C426="","",ROUND(E426*H426,2))</f>
        <v/>
      </c>
      <c r="J426" s="11" t="n"/>
      <c r="K426" s="11" t="n"/>
      <c r="L426" s="13">
        <f>IF(C426="","",ROUND(G426-I426-J426-K426,2))</f>
        <v/>
      </c>
      <c r="M426" s="10" t="n"/>
      <c r="N426" s="10" t="n"/>
      <c r="O426" s="12">
        <f>IF(C426="","",IFERROR(VLOOKUP(C426,Inventory!$A$2:$B$501,2,FALSE),"Unknown lot"))</f>
        <v/>
      </c>
      <c r="P426" s="12">
        <f>IF(D426="","",IFERROR(VLOOKUP(D426,Clients!$A$2:$B$501,2,FALSE),"Unknown client"))</f>
        <v/>
      </c>
      <c r="Q426" s="12">
        <f>IF(C426="","",IF(COUNTIF(Inventory!$A$2:$A$501,C426)&lt;&gt;1,"Check lot ID",IF(OR(A426="",B426="",E426="",F426=""),"Complete required fields",IF(COUNTIF($B$2:$B$501,B426)&gt;1,"Duplicate sale ID",IF(AND(D426&lt;&gt;"",COUNTIF(Clients!$A$2:$A$501,D426)&lt;&gt;1),"Check client ID",IF(VLOOKUP(C426,Inventory!$A$2:$L$501,12,FALSE)&lt;0,"OVER SOLD","OK"))))))</f>
        <v/>
      </c>
    </row>
    <row r="427" ht="23" customHeight="1">
      <c r="A427" s="18" t="n"/>
      <c r="B427" s="14" t="n"/>
      <c r="C427" s="14" t="n"/>
      <c r="D427" s="14" t="n"/>
      <c r="E427" s="15" t="n"/>
      <c r="F427" s="16" t="n"/>
      <c r="G427" s="13">
        <f>IF(C427="","",ROUND(E427*F427,2))</f>
        <v/>
      </c>
      <c r="H427" s="13">
        <f>IF(C427="","",IFERROR(VLOOKUP(C427,Inventory!$A$2:$J$501,9,FALSE),0))</f>
        <v/>
      </c>
      <c r="I427" s="13">
        <f>IF(C427="","",ROUND(E427*H427,2))</f>
        <v/>
      </c>
      <c r="J427" s="16" t="n"/>
      <c r="K427" s="16" t="n"/>
      <c r="L427" s="13">
        <f>IF(C427="","",ROUND(G427-I427-J427-K427,2))</f>
        <v/>
      </c>
      <c r="M427" s="15" t="n"/>
      <c r="N427" s="15" t="n"/>
      <c r="O427" s="12">
        <f>IF(C427="","",IFERROR(VLOOKUP(C427,Inventory!$A$2:$B$501,2,FALSE),"Unknown lot"))</f>
        <v/>
      </c>
      <c r="P427" s="12">
        <f>IF(D427="","",IFERROR(VLOOKUP(D427,Clients!$A$2:$B$501,2,FALSE),"Unknown client"))</f>
        <v/>
      </c>
      <c r="Q427" s="12">
        <f>IF(C427="","",IF(COUNTIF(Inventory!$A$2:$A$501,C427)&lt;&gt;1,"Check lot ID",IF(OR(A427="",B427="",E427="",F427=""),"Complete required fields",IF(COUNTIF($B$2:$B$501,B427)&gt;1,"Duplicate sale ID",IF(AND(D427&lt;&gt;"",COUNTIF(Clients!$A$2:$A$501,D427)&lt;&gt;1),"Check client ID",IF(VLOOKUP(C427,Inventory!$A$2:$L$501,12,FALSE)&lt;0,"OVER SOLD","OK"))))))</f>
        <v/>
      </c>
    </row>
    <row r="428" ht="23" customHeight="1">
      <c r="A428" s="17" t="n"/>
      <c r="B428" s="9" t="n"/>
      <c r="C428" s="9" t="n"/>
      <c r="D428" s="9" t="n"/>
      <c r="E428" s="10" t="n"/>
      <c r="F428" s="11" t="n"/>
      <c r="G428" s="13">
        <f>IF(C428="","",ROUND(E428*F428,2))</f>
        <v/>
      </c>
      <c r="H428" s="13">
        <f>IF(C428="","",IFERROR(VLOOKUP(C428,Inventory!$A$2:$J$501,9,FALSE),0))</f>
        <v/>
      </c>
      <c r="I428" s="13">
        <f>IF(C428="","",ROUND(E428*H428,2))</f>
        <v/>
      </c>
      <c r="J428" s="11" t="n"/>
      <c r="K428" s="11" t="n"/>
      <c r="L428" s="13">
        <f>IF(C428="","",ROUND(G428-I428-J428-K428,2))</f>
        <v/>
      </c>
      <c r="M428" s="10" t="n"/>
      <c r="N428" s="10" t="n"/>
      <c r="O428" s="12">
        <f>IF(C428="","",IFERROR(VLOOKUP(C428,Inventory!$A$2:$B$501,2,FALSE),"Unknown lot"))</f>
        <v/>
      </c>
      <c r="P428" s="12">
        <f>IF(D428="","",IFERROR(VLOOKUP(D428,Clients!$A$2:$B$501,2,FALSE),"Unknown client"))</f>
        <v/>
      </c>
      <c r="Q428" s="12">
        <f>IF(C428="","",IF(COUNTIF(Inventory!$A$2:$A$501,C428)&lt;&gt;1,"Check lot ID",IF(OR(A428="",B428="",E428="",F428=""),"Complete required fields",IF(COUNTIF($B$2:$B$501,B428)&gt;1,"Duplicate sale ID",IF(AND(D428&lt;&gt;"",COUNTIF(Clients!$A$2:$A$501,D428)&lt;&gt;1),"Check client ID",IF(VLOOKUP(C428,Inventory!$A$2:$L$501,12,FALSE)&lt;0,"OVER SOLD","OK"))))))</f>
        <v/>
      </c>
    </row>
    <row r="429" ht="23" customHeight="1">
      <c r="A429" s="18" t="n"/>
      <c r="B429" s="14" t="n"/>
      <c r="C429" s="14" t="n"/>
      <c r="D429" s="14" t="n"/>
      <c r="E429" s="15" t="n"/>
      <c r="F429" s="16" t="n"/>
      <c r="G429" s="13">
        <f>IF(C429="","",ROUND(E429*F429,2))</f>
        <v/>
      </c>
      <c r="H429" s="13">
        <f>IF(C429="","",IFERROR(VLOOKUP(C429,Inventory!$A$2:$J$501,9,FALSE),0))</f>
        <v/>
      </c>
      <c r="I429" s="13">
        <f>IF(C429="","",ROUND(E429*H429,2))</f>
        <v/>
      </c>
      <c r="J429" s="16" t="n"/>
      <c r="K429" s="16" t="n"/>
      <c r="L429" s="13">
        <f>IF(C429="","",ROUND(G429-I429-J429-K429,2))</f>
        <v/>
      </c>
      <c r="M429" s="15" t="n"/>
      <c r="N429" s="15" t="n"/>
      <c r="O429" s="12">
        <f>IF(C429="","",IFERROR(VLOOKUP(C429,Inventory!$A$2:$B$501,2,FALSE),"Unknown lot"))</f>
        <v/>
      </c>
      <c r="P429" s="12">
        <f>IF(D429="","",IFERROR(VLOOKUP(D429,Clients!$A$2:$B$501,2,FALSE),"Unknown client"))</f>
        <v/>
      </c>
      <c r="Q429" s="12">
        <f>IF(C429="","",IF(COUNTIF(Inventory!$A$2:$A$501,C429)&lt;&gt;1,"Check lot ID",IF(OR(A429="",B429="",E429="",F429=""),"Complete required fields",IF(COUNTIF($B$2:$B$501,B429)&gt;1,"Duplicate sale ID",IF(AND(D429&lt;&gt;"",COUNTIF(Clients!$A$2:$A$501,D429)&lt;&gt;1),"Check client ID",IF(VLOOKUP(C429,Inventory!$A$2:$L$501,12,FALSE)&lt;0,"OVER SOLD","OK"))))))</f>
        <v/>
      </c>
    </row>
    <row r="430" ht="23" customHeight="1">
      <c r="A430" s="17" t="n"/>
      <c r="B430" s="9" t="n"/>
      <c r="C430" s="9" t="n"/>
      <c r="D430" s="9" t="n"/>
      <c r="E430" s="10" t="n"/>
      <c r="F430" s="11" t="n"/>
      <c r="G430" s="13">
        <f>IF(C430="","",ROUND(E430*F430,2))</f>
        <v/>
      </c>
      <c r="H430" s="13">
        <f>IF(C430="","",IFERROR(VLOOKUP(C430,Inventory!$A$2:$J$501,9,FALSE),0))</f>
        <v/>
      </c>
      <c r="I430" s="13">
        <f>IF(C430="","",ROUND(E430*H430,2))</f>
        <v/>
      </c>
      <c r="J430" s="11" t="n"/>
      <c r="K430" s="11" t="n"/>
      <c r="L430" s="13">
        <f>IF(C430="","",ROUND(G430-I430-J430-K430,2))</f>
        <v/>
      </c>
      <c r="M430" s="10" t="n"/>
      <c r="N430" s="10" t="n"/>
      <c r="O430" s="12">
        <f>IF(C430="","",IFERROR(VLOOKUP(C430,Inventory!$A$2:$B$501,2,FALSE),"Unknown lot"))</f>
        <v/>
      </c>
      <c r="P430" s="12">
        <f>IF(D430="","",IFERROR(VLOOKUP(D430,Clients!$A$2:$B$501,2,FALSE),"Unknown client"))</f>
        <v/>
      </c>
      <c r="Q430" s="12">
        <f>IF(C430="","",IF(COUNTIF(Inventory!$A$2:$A$501,C430)&lt;&gt;1,"Check lot ID",IF(OR(A430="",B430="",E430="",F430=""),"Complete required fields",IF(COUNTIF($B$2:$B$501,B430)&gt;1,"Duplicate sale ID",IF(AND(D430&lt;&gt;"",COUNTIF(Clients!$A$2:$A$501,D430)&lt;&gt;1),"Check client ID",IF(VLOOKUP(C430,Inventory!$A$2:$L$501,12,FALSE)&lt;0,"OVER SOLD","OK"))))))</f>
        <v/>
      </c>
    </row>
    <row r="431" ht="23" customHeight="1">
      <c r="A431" s="18" t="n"/>
      <c r="B431" s="14" t="n"/>
      <c r="C431" s="14" t="n"/>
      <c r="D431" s="14" t="n"/>
      <c r="E431" s="15" t="n"/>
      <c r="F431" s="16" t="n"/>
      <c r="G431" s="13">
        <f>IF(C431="","",ROUND(E431*F431,2))</f>
        <v/>
      </c>
      <c r="H431" s="13">
        <f>IF(C431="","",IFERROR(VLOOKUP(C431,Inventory!$A$2:$J$501,9,FALSE),0))</f>
        <v/>
      </c>
      <c r="I431" s="13">
        <f>IF(C431="","",ROUND(E431*H431,2))</f>
        <v/>
      </c>
      <c r="J431" s="16" t="n"/>
      <c r="K431" s="16" t="n"/>
      <c r="L431" s="13">
        <f>IF(C431="","",ROUND(G431-I431-J431-K431,2))</f>
        <v/>
      </c>
      <c r="M431" s="15" t="n"/>
      <c r="N431" s="15" t="n"/>
      <c r="O431" s="12">
        <f>IF(C431="","",IFERROR(VLOOKUP(C431,Inventory!$A$2:$B$501,2,FALSE),"Unknown lot"))</f>
        <v/>
      </c>
      <c r="P431" s="12">
        <f>IF(D431="","",IFERROR(VLOOKUP(D431,Clients!$A$2:$B$501,2,FALSE),"Unknown client"))</f>
        <v/>
      </c>
      <c r="Q431" s="12">
        <f>IF(C431="","",IF(COUNTIF(Inventory!$A$2:$A$501,C431)&lt;&gt;1,"Check lot ID",IF(OR(A431="",B431="",E431="",F431=""),"Complete required fields",IF(COUNTIF($B$2:$B$501,B431)&gt;1,"Duplicate sale ID",IF(AND(D431&lt;&gt;"",COUNTIF(Clients!$A$2:$A$501,D431)&lt;&gt;1),"Check client ID",IF(VLOOKUP(C431,Inventory!$A$2:$L$501,12,FALSE)&lt;0,"OVER SOLD","OK"))))))</f>
        <v/>
      </c>
    </row>
    <row r="432" ht="23" customHeight="1">
      <c r="A432" s="17" t="n"/>
      <c r="B432" s="9" t="n"/>
      <c r="C432" s="9" t="n"/>
      <c r="D432" s="9" t="n"/>
      <c r="E432" s="10" t="n"/>
      <c r="F432" s="11" t="n"/>
      <c r="G432" s="13">
        <f>IF(C432="","",ROUND(E432*F432,2))</f>
        <v/>
      </c>
      <c r="H432" s="13">
        <f>IF(C432="","",IFERROR(VLOOKUP(C432,Inventory!$A$2:$J$501,9,FALSE),0))</f>
        <v/>
      </c>
      <c r="I432" s="13">
        <f>IF(C432="","",ROUND(E432*H432,2))</f>
        <v/>
      </c>
      <c r="J432" s="11" t="n"/>
      <c r="K432" s="11" t="n"/>
      <c r="L432" s="13">
        <f>IF(C432="","",ROUND(G432-I432-J432-K432,2))</f>
        <v/>
      </c>
      <c r="M432" s="10" t="n"/>
      <c r="N432" s="10" t="n"/>
      <c r="O432" s="12">
        <f>IF(C432="","",IFERROR(VLOOKUP(C432,Inventory!$A$2:$B$501,2,FALSE),"Unknown lot"))</f>
        <v/>
      </c>
      <c r="P432" s="12">
        <f>IF(D432="","",IFERROR(VLOOKUP(D432,Clients!$A$2:$B$501,2,FALSE),"Unknown client"))</f>
        <v/>
      </c>
      <c r="Q432" s="12">
        <f>IF(C432="","",IF(COUNTIF(Inventory!$A$2:$A$501,C432)&lt;&gt;1,"Check lot ID",IF(OR(A432="",B432="",E432="",F432=""),"Complete required fields",IF(COUNTIF($B$2:$B$501,B432)&gt;1,"Duplicate sale ID",IF(AND(D432&lt;&gt;"",COUNTIF(Clients!$A$2:$A$501,D432)&lt;&gt;1),"Check client ID",IF(VLOOKUP(C432,Inventory!$A$2:$L$501,12,FALSE)&lt;0,"OVER SOLD","OK"))))))</f>
        <v/>
      </c>
    </row>
    <row r="433" ht="23" customHeight="1">
      <c r="A433" s="18" t="n"/>
      <c r="B433" s="14" t="n"/>
      <c r="C433" s="14" t="n"/>
      <c r="D433" s="14" t="n"/>
      <c r="E433" s="15" t="n"/>
      <c r="F433" s="16" t="n"/>
      <c r="G433" s="13">
        <f>IF(C433="","",ROUND(E433*F433,2))</f>
        <v/>
      </c>
      <c r="H433" s="13">
        <f>IF(C433="","",IFERROR(VLOOKUP(C433,Inventory!$A$2:$J$501,9,FALSE),0))</f>
        <v/>
      </c>
      <c r="I433" s="13">
        <f>IF(C433="","",ROUND(E433*H433,2))</f>
        <v/>
      </c>
      <c r="J433" s="16" t="n"/>
      <c r="K433" s="16" t="n"/>
      <c r="L433" s="13">
        <f>IF(C433="","",ROUND(G433-I433-J433-K433,2))</f>
        <v/>
      </c>
      <c r="M433" s="15" t="n"/>
      <c r="N433" s="15" t="n"/>
      <c r="O433" s="12">
        <f>IF(C433="","",IFERROR(VLOOKUP(C433,Inventory!$A$2:$B$501,2,FALSE),"Unknown lot"))</f>
        <v/>
      </c>
      <c r="P433" s="12">
        <f>IF(D433="","",IFERROR(VLOOKUP(D433,Clients!$A$2:$B$501,2,FALSE),"Unknown client"))</f>
        <v/>
      </c>
      <c r="Q433" s="12">
        <f>IF(C433="","",IF(COUNTIF(Inventory!$A$2:$A$501,C433)&lt;&gt;1,"Check lot ID",IF(OR(A433="",B433="",E433="",F433=""),"Complete required fields",IF(COUNTIF($B$2:$B$501,B433)&gt;1,"Duplicate sale ID",IF(AND(D433&lt;&gt;"",COUNTIF(Clients!$A$2:$A$501,D433)&lt;&gt;1),"Check client ID",IF(VLOOKUP(C433,Inventory!$A$2:$L$501,12,FALSE)&lt;0,"OVER SOLD","OK"))))))</f>
        <v/>
      </c>
    </row>
    <row r="434" ht="23" customHeight="1">
      <c r="A434" s="17" t="n"/>
      <c r="B434" s="9" t="n"/>
      <c r="C434" s="9" t="n"/>
      <c r="D434" s="9" t="n"/>
      <c r="E434" s="10" t="n"/>
      <c r="F434" s="11" t="n"/>
      <c r="G434" s="13">
        <f>IF(C434="","",ROUND(E434*F434,2))</f>
        <v/>
      </c>
      <c r="H434" s="13">
        <f>IF(C434="","",IFERROR(VLOOKUP(C434,Inventory!$A$2:$J$501,9,FALSE),0))</f>
        <v/>
      </c>
      <c r="I434" s="13">
        <f>IF(C434="","",ROUND(E434*H434,2))</f>
        <v/>
      </c>
      <c r="J434" s="11" t="n"/>
      <c r="K434" s="11" t="n"/>
      <c r="L434" s="13">
        <f>IF(C434="","",ROUND(G434-I434-J434-K434,2))</f>
        <v/>
      </c>
      <c r="M434" s="10" t="n"/>
      <c r="N434" s="10" t="n"/>
      <c r="O434" s="12">
        <f>IF(C434="","",IFERROR(VLOOKUP(C434,Inventory!$A$2:$B$501,2,FALSE),"Unknown lot"))</f>
        <v/>
      </c>
      <c r="P434" s="12">
        <f>IF(D434="","",IFERROR(VLOOKUP(D434,Clients!$A$2:$B$501,2,FALSE),"Unknown client"))</f>
        <v/>
      </c>
      <c r="Q434" s="12">
        <f>IF(C434="","",IF(COUNTIF(Inventory!$A$2:$A$501,C434)&lt;&gt;1,"Check lot ID",IF(OR(A434="",B434="",E434="",F434=""),"Complete required fields",IF(COUNTIF($B$2:$B$501,B434)&gt;1,"Duplicate sale ID",IF(AND(D434&lt;&gt;"",COUNTIF(Clients!$A$2:$A$501,D434)&lt;&gt;1),"Check client ID",IF(VLOOKUP(C434,Inventory!$A$2:$L$501,12,FALSE)&lt;0,"OVER SOLD","OK"))))))</f>
        <v/>
      </c>
    </row>
    <row r="435" ht="23" customHeight="1">
      <c r="A435" s="18" t="n"/>
      <c r="B435" s="14" t="n"/>
      <c r="C435" s="14" t="n"/>
      <c r="D435" s="14" t="n"/>
      <c r="E435" s="15" t="n"/>
      <c r="F435" s="16" t="n"/>
      <c r="G435" s="13">
        <f>IF(C435="","",ROUND(E435*F435,2))</f>
        <v/>
      </c>
      <c r="H435" s="13">
        <f>IF(C435="","",IFERROR(VLOOKUP(C435,Inventory!$A$2:$J$501,9,FALSE),0))</f>
        <v/>
      </c>
      <c r="I435" s="13">
        <f>IF(C435="","",ROUND(E435*H435,2))</f>
        <v/>
      </c>
      <c r="J435" s="16" t="n"/>
      <c r="K435" s="16" t="n"/>
      <c r="L435" s="13">
        <f>IF(C435="","",ROUND(G435-I435-J435-K435,2))</f>
        <v/>
      </c>
      <c r="M435" s="15" t="n"/>
      <c r="N435" s="15" t="n"/>
      <c r="O435" s="12">
        <f>IF(C435="","",IFERROR(VLOOKUP(C435,Inventory!$A$2:$B$501,2,FALSE),"Unknown lot"))</f>
        <v/>
      </c>
      <c r="P435" s="12">
        <f>IF(D435="","",IFERROR(VLOOKUP(D435,Clients!$A$2:$B$501,2,FALSE),"Unknown client"))</f>
        <v/>
      </c>
      <c r="Q435" s="12">
        <f>IF(C435="","",IF(COUNTIF(Inventory!$A$2:$A$501,C435)&lt;&gt;1,"Check lot ID",IF(OR(A435="",B435="",E435="",F435=""),"Complete required fields",IF(COUNTIF($B$2:$B$501,B435)&gt;1,"Duplicate sale ID",IF(AND(D435&lt;&gt;"",COUNTIF(Clients!$A$2:$A$501,D435)&lt;&gt;1),"Check client ID",IF(VLOOKUP(C435,Inventory!$A$2:$L$501,12,FALSE)&lt;0,"OVER SOLD","OK"))))))</f>
        <v/>
      </c>
    </row>
    <row r="436" ht="23" customHeight="1">
      <c r="A436" s="17" t="n"/>
      <c r="B436" s="9" t="n"/>
      <c r="C436" s="9" t="n"/>
      <c r="D436" s="9" t="n"/>
      <c r="E436" s="10" t="n"/>
      <c r="F436" s="11" t="n"/>
      <c r="G436" s="13">
        <f>IF(C436="","",ROUND(E436*F436,2))</f>
        <v/>
      </c>
      <c r="H436" s="13">
        <f>IF(C436="","",IFERROR(VLOOKUP(C436,Inventory!$A$2:$J$501,9,FALSE),0))</f>
        <v/>
      </c>
      <c r="I436" s="13">
        <f>IF(C436="","",ROUND(E436*H436,2))</f>
        <v/>
      </c>
      <c r="J436" s="11" t="n"/>
      <c r="K436" s="11" t="n"/>
      <c r="L436" s="13">
        <f>IF(C436="","",ROUND(G436-I436-J436-K436,2))</f>
        <v/>
      </c>
      <c r="M436" s="10" t="n"/>
      <c r="N436" s="10" t="n"/>
      <c r="O436" s="12">
        <f>IF(C436="","",IFERROR(VLOOKUP(C436,Inventory!$A$2:$B$501,2,FALSE),"Unknown lot"))</f>
        <v/>
      </c>
      <c r="P436" s="12">
        <f>IF(D436="","",IFERROR(VLOOKUP(D436,Clients!$A$2:$B$501,2,FALSE),"Unknown client"))</f>
        <v/>
      </c>
      <c r="Q436" s="12">
        <f>IF(C436="","",IF(COUNTIF(Inventory!$A$2:$A$501,C436)&lt;&gt;1,"Check lot ID",IF(OR(A436="",B436="",E436="",F436=""),"Complete required fields",IF(COUNTIF($B$2:$B$501,B436)&gt;1,"Duplicate sale ID",IF(AND(D436&lt;&gt;"",COUNTIF(Clients!$A$2:$A$501,D436)&lt;&gt;1),"Check client ID",IF(VLOOKUP(C436,Inventory!$A$2:$L$501,12,FALSE)&lt;0,"OVER SOLD","OK"))))))</f>
        <v/>
      </c>
    </row>
    <row r="437" ht="23" customHeight="1">
      <c r="A437" s="18" t="n"/>
      <c r="B437" s="14" t="n"/>
      <c r="C437" s="14" t="n"/>
      <c r="D437" s="14" t="n"/>
      <c r="E437" s="15" t="n"/>
      <c r="F437" s="16" t="n"/>
      <c r="G437" s="13">
        <f>IF(C437="","",ROUND(E437*F437,2))</f>
        <v/>
      </c>
      <c r="H437" s="13">
        <f>IF(C437="","",IFERROR(VLOOKUP(C437,Inventory!$A$2:$J$501,9,FALSE),0))</f>
        <v/>
      </c>
      <c r="I437" s="13">
        <f>IF(C437="","",ROUND(E437*H437,2))</f>
        <v/>
      </c>
      <c r="J437" s="16" t="n"/>
      <c r="K437" s="16" t="n"/>
      <c r="L437" s="13">
        <f>IF(C437="","",ROUND(G437-I437-J437-K437,2))</f>
        <v/>
      </c>
      <c r="M437" s="15" t="n"/>
      <c r="N437" s="15" t="n"/>
      <c r="O437" s="12">
        <f>IF(C437="","",IFERROR(VLOOKUP(C437,Inventory!$A$2:$B$501,2,FALSE),"Unknown lot"))</f>
        <v/>
      </c>
      <c r="P437" s="12">
        <f>IF(D437="","",IFERROR(VLOOKUP(D437,Clients!$A$2:$B$501,2,FALSE),"Unknown client"))</f>
        <v/>
      </c>
      <c r="Q437" s="12">
        <f>IF(C437="","",IF(COUNTIF(Inventory!$A$2:$A$501,C437)&lt;&gt;1,"Check lot ID",IF(OR(A437="",B437="",E437="",F437=""),"Complete required fields",IF(COUNTIF($B$2:$B$501,B437)&gt;1,"Duplicate sale ID",IF(AND(D437&lt;&gt;"",COUNTIF(Clients!$A$2:$A$501,D437)&lt;&gt;1),"Check client ID",IF(VLOOKUP(C437,Inventory!$A$2:$L$501,12,FALSE)&lt;0,"OVER SOLD","OK"))))))</f>
        <v/>
      </c>
    </row>
    <row r="438" ht="23" customHeight="1">
      <c r="A438" s="17" t="n"/>
      <c r="B438" s="9" t="n"/>
      <c r="C438" s="9" t="n"/>
      <c r="D438" s="9" t="n"/>
      <c r="E438" s="10" t="n"/>
      <c r="F438" s="11" t="n"/>
      <c r="G438" s="13">
        <f>IF(C438="","",ROUND(E438*F438,2))</f>
        <v/>
      </c>
      <c r="H438" s="13">
        <f>IF(C438="","",IFERROR(VLOOKUP(C438,Inventory!$A$2:$J$501,9,FALSE),0))</f>
        <v/>
      </c>
      <c r="I438" s="13">
        <f>IF(C438="","",ROUND(E438*H438,2))</f>
        <v/>
      </c>
      <c r="J438" s="11" t="n"/>
      <c r="K438" s="11" t="n"/>
      <c r="L438" s="13">
        <f>IF(C438="","",ROUND(G438-I438-J438-K438,2))</f>
        <v/>
      </c>
      <c r="M438" s="10" t="n"/>
      <c r="N438" s="10" t="n"/>
      <c r="O438" s="12">
        <f>IF(C438="","",IFERROR(VLOOKUP(C438,Inventory!$A$2:$B$501,2,FALSE),"Unknown lot"))</f>
        <v/>
      </c>
      <c r="P438" s="12">
        <f>IF(D438="","",IFERROR(VLOOKUP(D438,Clients!$A$2:$B$501,2,FALSE),"Unknown client"))</f>
        <v/>
      </c>
      <c r="Q438" s="12">
        <f>IF(C438="","",IF(COUNTIF(Inventory!$A$2:$A$501,C438)&lt;&gt;1,"Check lot ID",IF(OR(A438="",B438="",E438="",F438=""),"Complete required fields",IF(COUNTIF($B$2:$B$501,B438)&gt;1,"Duplicate sale ID",IF(AND(D438&lt;&gt;"",COUNTIF(Clients!$A$2:$A$501,D438)&lt;&gt;1),"Check client ID",IF(VLOOKUP(C438,Inventory!$A$2:$L$501,12,FALSE)&lt;0,"OVER SOLD","OK"))))))</f>
        <v/>
      </c>
    </row>
    <row r="439" ht="23" customHeight="1">
      <c r="A439" s="18" t="n"/>
      <c r="B439" s="14" t="n"/>
      <c r="C439" s="14" t="n"/>
      <c r="D439" s="14" t="n"/>
      <c r="E439" s="15" t="n"/>
      <c r="F439" s="16" t="n"/>
      <c r="G439" s="13">
        <f>IF(C439="","",ROUND(E439*F439,2))</f>
        <v/>
      </c>
      <c r="H439" s="13">
        <f>IF(C439="","",IFERROR(VLOOKUP(C439,Inventory!$A$2:$J$501,9,FALSE),0))</f>
        <v/>
      </c>
      <c r="I439" s="13">
        <f>IF(C439="","",ROUND(E439*H439,2))</f>
        <v/>
      </c>
      <c r="J439" s="16" t="n"/>
      <c r="K439" s="16" t="n"/>
      <c r="L439" s="13">
        <f>IF(C439="","",ROUND(G439-I439-J439-K439,2))</f>
        <v/>
      </c>
      <c r="M439" s="15" t="n"/>
      <c r="N439" s="15" t="n"/>
      <c r="O439" s="12">
        <f>IF(C439="","",IFERROR(VLOOKUP(C439,Inventory!$A$2:$B$501,2,FALSE),"Unknown lot"))</f>
        <v/>
      </c>
      <c r="P439" s="12">
        <f>IF(D439="","",IFERROR(VLOOKUP(D439,Clients!$A$2:$B$501,2,FALSE),"Unknown client"))</f>
        <v/>
      </c>
      <c r="Q439" s="12">
        <f>IF(C439="","",IF(COUNTIF(Inventory!$A$2:$A$501,C439)&lt;&gt;1,"Check lot ID",IF(OR(A439="",B439="",E439="",F439=""),"Complete required fields",IF(COUNTIF($B$2:$B$501,B439)&gt;1,"Duplicate sale ID",IF(AND(D439&lt;&gt;"",COUNTIF(Clients!$A$2:$A$501,D439)&lt;&gt;1),"Check client ID",IF(VLOOKUP(C439,Inventory!$A$2:$L$501,12,FALSE)&lt;0,"OVER SOLD","OK"))))))</f>
        <v/>
      </c>
    </row>
    <row r="440" ht="23" customHeight="1">
      <c r="A440" s="17" t="n"/>
      <c r="B440" s="9" t="n"/>
      <c r="C440" s="9" t="n"/>
      <c r="D440" s="9" t="n"/>
      <c r="E440" s="10" t="n"/>
      <c r="F440" s="11" t="n"/>
      <c r="G440" s="13">
        <f>IF(C440="","",ROUND(E440*F440,2))</f>
        <v/>
      </c>
      <c r="H440" s="13">
        <f>IF(C440="","",IFERROR(VLOOKUP(C440,Inventory!$A$2:$J$501,9,FALSE),0))</f>
        <v/>
      </c>
      <c r="I440" s="13">
        <f>IF(C440="","",ROUND(E440*H440,2))</f>
        <v/>
      </c>
      <c r="J440" s="11" t="n"/>
      <c r="K440" s="11" t="n"/>
      <c r="L440" s="13">
        <f>IF(C440="","",ROUND(G440-I440-J440-K440,2))</f>
        <v/>
      </c>
      <c r="M440" s="10" t="n"/>
      <c r="N440" s="10" t="n"/>
      <c r="O440" s="12">
        <f>IF(C440="","",IFERROR(VLOOKUP(C440,Inventory!$A$2:$B$501,2,FALSE),"Unknown lot"))</f>
        <v/>
      </c>
      <c r="P440" s="12">
        <f>IF(D440="","",IFERROR(VLOOKUP(D440,Clients!$A$2:$B$501,2,FALSE),"Unknown client"))</f>
        <v/>
      </c>
      <c r="Q440" s="12">
        <f>IF(C440="","",IF(COUNTIF(Inventory!$A$2:$A$501,C440)&lt;&gt;1,"Check lot ID",IF(OR(A440="",B440="",E440="",F440=""),"Complete required fields",IF(COUNTIF($B$2:$B$501,B440)&gt;1,"Duplicate sale ID",IF(AND(D440&lt;&gt;"",COUNTIF(Clients!$A$2:$A$501,D440)&lt;&gt;1),"Check client ID",IF(VLOOKUP(C440,Inventory!$A$2:$L$501,12,FALSE)&lt;0,"OVER SOLD","OK"))))))</f>
        <v/>
      </c>
    </row>
    <row r="441" ht="23" customHeight="1">
      <c r="A441" s="18" t="n"/>
      <c r="B441" s="14" t="n"/>
      <c r="C441" s="14" t="n"/>
      <c r="D441" s="14" t="n"/>
      <c r="E441" s="15" t="n"/>
      <c r="F441" s="16" t="n"/>
      <c r="G441" s="13">
        <f>IF(C441="","",ROUND(E441*F441,2))</f>
        <v/>
      </c>
      <c r="H441" s="13">
        <f>IF(C441="","",IFERROR(VLOOKUP(C441,Inventory!$A$2:$J$501,9,FALSE),0))</f>
        <v/>
      </c>
      <c r="I441" s="13">
        <f>IF(C441="","",ROUND(E441*H441,2))</f>
        <v/>
      </c>
      <c r="J441" s="16" t="n"/>
      <c r="K441" s="16" t="n"/>
      <c r="L441" s="13">
        <f>IF(C441="","",ROUND(G441-I441-J441-K441,2))</f>
        <v/>
      </c>
      <c r="M441" s="15" t="n"/>
      <c r="N441" s="15" t="n"/>
      <c r="O441" s="12">
        <f>IF(C441="","",IFERROR(VLOOKUP(C441,Inventory!$A$2:$B$501,2,FALSE),"Unknown lot"))</f>
        <v/>
      </c>
      <c r="P441" s="12">
        <f>IF(D441="","",IFERROR(VLOOKUP(D441,Clients!$A$2:$B$501,2,FALSE),"Unknown client"))</f>
        <v/>
      </c>
      <c r="Q441" s="12">
        <f>IF(C441="","",IF(COUNTIF(Inventory!$A$2:$A$501,C441)&lt;&gt;1,"Check lot ID",IF(OR(A441="",B441="",E441="",F441=""),"Complete required fields",IF(COUNTIF($B$2:$B$501,B441)&gt;1,"Duplicate sale ID",IF(AND(D441&lt;&gt;"",COUNTIF(Clients!$A$2:$A$501,D441)&lt;&gt;1),"Check client ID",IF(VLOOKUP(C441,Inventory!$A$2:$L$501,12,FALSE)&lt;0,"OVER SOLD","OK"))))))</f>
        <v/>
      </c>
    </row>
    <row r="442" ht="23" customHeight="1">
      <c r="A442" s="17" t="n"/>
      <c r="B442" s="9" t="n"/>
      <c r="C442" s="9" t="n"/>
      <c r="D442" s="9" t="n"/>
      <c r="E442" s="10" t="n"/>
      <c r="F442" s="11" t="n"/>
      <c r="G442" s="13">
        <f>IF(C442="","",ROUND(E442*F442,2))</f>
        <v/>
      </c>
      <c r="H442" s="13">
        <f>IF(C442="","",IFERROR(VLOOKUP(C442,Inventory!$A$2:$J$501,9,FALSE),0))</f>
        <v/>
      </c>
      <c r="I442" s="13">
        <f>IF(C442="","",ROUND(E442*H442,2))</f>
        <v/>
      </c>
      <c r="J442" s="11" t="n"/>
      <c r="K442" s="11" t="n"/>
      <c r="L442" s="13">
        <f>IF(C442="","",ROUND(G442-I442-J442-K442,2))</f>
        <v/>
      </c>
      <c r="M442" s="10" t="n"/>
      <c r="N442" s="10" t="n"/>
      <c r="O442" s="12">
        <f>IF(C442="","",IFERROR(VLOOKUP(C442,Inventory!$A$2:$B$501,2,FALSE),"Unknown lot"))</f>
        <v/>
      </c>
      <c r="P442" s="12">
        <f>IF(D442="","",IFERROR(VLOOKUP(D442,Clients!$A$2:$B$501,2,FALSE),"Unknown client"))</f>
        <v/>
      </c>
      <c r="Q442" s="12">
        <f>IF(C442="","",IF(COUNTIF(Inventory!$A$2:$A$501,C442)&lt;&gt;1,"Check lot ID",IF(OR(A442="",B442="",E442="",F442=""),"Complete required fields",IF(COUNTIF($B$2:$B$501,B442)&gt;1,"Duplicate sale ID",IF(AND(D442&lt;&gt;"",COUNTIF(Clients!$A$2:$A$501,D442)&lt;&gt;1),"Check client ID",IF(VLOOKUP(C442,Inventory!$A$2:$L$501,12,FALSE)&lt;0,"OVER SOLD","OK"))))))</f>
        <v/>
      </c>
    </row>
    <row r="443" ht="23" customHeight="1">
      <c r="A443" s="18" t="n"/>
      <c r="B443" s="14" t="n"/>
      <c r="C443" s="14" t="n"/>
      <c r="D443" s="14" t="n"/>
      <c r="E443" s="15" t="n"/>
      <c r="F443" s="16" t="n"/>
      <c r="G443" s="13">
        <f>IF(C443="","",ROUND(E443*F443,2))</f>
        <v/>
      </c>
      <c r="H443" s="13">
        <f>IF(C443="","",IFERROR(VLOOKUP(C443,Inventory!$A$2:$J$501,9,FALSE),0))</f>
        <v/>
      </c>
      <c r="I443" s="13">
        <f>IF(C443="","",ROUND(E443*H443,2))</f>
        <v/>
      </c>
      <c r="J443" s="16" t="n"/>
      <c r="K443" s="16" t="n"/>
      <c r="L443" s="13">
        <f>IF(C443="","",ROUND(G443-I443-J443-K443,2))</f>
        <v/>
      </c>
      <c r="M443" s="15" t="n"/>
      <c r="N443" s="15" t="n"/>
      <c r="O443" s="12">
        <f>IF(C443="","",IFERROR(VLOOKUP(C443,Inventory!$A$2:$B$501,2,FALSE),"Unknown lot"))</f>
        <v/>
      </c>
      <c r="P443" s="12">
        <f>IF(D443="","",IFERROR(VLOOKUP(D443,Clients!$A$2:$B$501,2,FALSE),"Unknown client"))</f>
        <v/>
      </c>
      <c r="Q443" s="12">
        <f>IF(C443="","",IF(COUNTIF(Inventory!$A$2:$A$501,C443)&lt;&gt;1,"Check lot ID",IF(OR(A443="",B443="",E443="",F443=""),"Complete required fields",IF(COUNTIF($B$2:$B$501,B443)&gt;1,"Duplicate sale ID",IF(AND(D443&lt;&gt;"",COUNTIF(Clients!$A$2:$A$501,D443)&lt;&gt;1),"Check client ID",IF(VLOOKUP(C443,Inventory!$A$2:$L$501,12,FALSE)&lt;0,"OVER SOLD","OK"))))))</f>
        <v/>
      </c>
    </row>
    <row r="444" ht="23" customHeight="1">
      <c r="A444" s="17" t="n"/>
      <c r="B444" s="9" t="n"/>
      <c r="C444" s="9" t="n"/>
      <c r="D444" s="9" t="n"/>
      <c r="E444" s="10" t="n"/>
      <c r="F444" s="11" t="n"/>
      <c r="G444" s="13">
        <f>IF(C444="","",ROUND(E444*F444,2))</f>
        <v/>
      </c>
      <c r="H444" s="13">
        <f>IF(C444="","",IFERROR(VLOOKUP(C444,Inventory!$A$2:$J$501,9,FALSE),0))</f>
        <v/>
      </c>
      <c r="I444" s="13">
        <f>IF(C444="","",ROUND(E444*H444,2))</f>
        <v/>
      </c>
      <c r="J444" s="11" t="n"/>
      <c r="K444" s="11" t="n"/>
      <c r="L444" s="13">
        <f>IF(C444="","",ROUND(G444-I444-J444-K444,2))</f>
        <v/>
      </c>
      <c r="M444" s="10" t="n"/>
      <c r="N444" s="10" t="n"/>
      <c r="O444" s="12">
        <f>IF(C444="","",IFERROR(VLOOKUP(C444,Inventory!$A$2:$B$501,2,FALSE),"Unknown lot"))</f>
        <v/>
      </c>
      <c r="P444" s="12">
        <f>IF(D444="","",IFERROR(VLOOKUP(D444,Clients!$A$2:$B$501,2,FALSE),"Unknown client"))</f>
        <v/>
      </c>
      <c r="Q444" s="12">
        <f>IF(C444="","",IF(COUNTIF(Inventory!$A$2:$A$501,C444)&lt;&gt;1,"Check lot ID",IF(OR(A444="",B444="",E444="",F444=""),"Complete required fields",IF(COUNTIF($B$2:$B$501,B444)&gt;1,"Duplicate sale ID",IF(AND(D444&lt;&gt;"",COUNTIF(Clients!$A$2:$A$501,D444)&lt;&gt;1),"Check client ID",IF(VLOOKUP(C444,Inventory!$A$2:$L$501,12,FALSE)&lt;0,"OVER SOLD","OK"))))))</f>
        <v/>
      </c>
    </row>
    <row r="445" ht="23" customHeight="1">
      <c r="A445" s="18" t="n"/>
      <c r="B445" s="14" t="n"/>
      <c r="C445" s="14" t="n"/>
      <c r="D445" s="14" t="n"/>
      <c r="E445" s="15" t="n"/>
      <c r="F445" s="16" t="n"/>
      <c r="G445" s="13">
        <f>IF(C445="","",ROUND(E445*F445,2))</f>
        <v/>
      </c>
      <c r="H445" s="13">
        <f>IF(C445="","",IFERROR(VLOOKUP(C445,Inventory!$A$2:$J$501,9,FALSE),0))</f>
        <v/>
      </c>
      <c r="I445" s="13">
        <f>IF(C445="","",ROUND(E445*H445,2))</f>
        <v/>
      </c>
      <c r="J445" s="16" t="n"/>
      <c r="K445" s="16" t="n"/>
      <c r="L445" s="13">
        <f>IF(C445="","",ROUND(G445-I445-J445-K445,2))</f>
        <v/>
      </c>
      <c r="M445" s="15" t="n"/>
      <c r="N445" s="15" t="n"/>
      <c r="O445" s="12">
        <f>IF(C445="","",IFERROR(VLOOKUP(C445,Inventory!$A$2:$B$501,2,FALSE),"Unknown lot"))</f>
        <v/>
      </c>
      <c r="P445" s="12">
        <f>IF(D445="","",IFERROR(VLOOKUP(D445,Clients!$A$2:$B$501,2,FALSE),"Unknown client"))</f>
        <v/>
      </c>
      <c r="Q445" s="12">
        <f>IF(C445="","",IF(COUNTIF(Inventory!$A$2:$A$501,C445)&lt;&gt;1,"Check lot ID",IF(OR(A445="",B445="",E445="",F445=""),"Complete required fields",IF(COUNTIF($B$2:$B$501,B445)&gt;1,"Duplicate sale ID",IF(AND(D445&lt;&gt;"",COUNTIF(Clients!$A$2:$A$501,D445)&lt;&gt;1),"Check client ID",IF(VLOOKUP(C445,Inventory!$A$2:$L$501,12,FALSE)&lt;0,"OVER SOLD","OK"))))))</f>
        <v/>
      </c>
    </row>
    <row r="446" ht="23" customHeight="1">
      <c r="A446" s="17" t="n"/>
      <c r="B446" s="9" t="n"/>
      <c r="C446" s="9" t="n"/>
      <c r="D446" s="9" t="n"/>
      <c r="E446" s="10" t="n"/>
      <c r="F446" s="11" t="n"/>
      <c r="G446" s="13">
        <f>IF(C446="","",ROUND(E446*F446,2))</f>
        <v/>
      </c>
      <c r="H446" s="13">
        <f>IF(C446="","",IFERROR(VLOOKUP(C446,Inventory!$A$2:$J$501,9,FALSE),0))</f>
        <v/>
      </c>
      <c r="I446" s="13">
        <f>IF(C446="","",ROUND(E446*H446,2))</f>
        <v/>
      </c>
      <c r="J446" s="11" t="n"/>
      <c r="K446" s="11" t="n"/>
      <c r="L446" s="13">
        <f>IF(C446="","",ROUND(G446-I446-J446-K446,2))</f>
        <v/>
      </c>
      <c r="M446" s="10" t="n"/>
      <c r="N446" s="10" t="n"/>
      <c r="O446" s="12">
        <f>IF(C446="","",IFERROR(VLOOKUP(C446,Inventory!$A$2:$B$501,2,FALSE),"Unknown lot"))</f>
        <v/>
      </c>
      <c r="P446" s="12">
        <f>IF(D446="","",IFERROR(VLOOKUP(D446,Clients!$A$2:$B$501,2,FALSE),"Unknown client"))</f>
        <v/>
      </c>
      <c r="Q446" s="12">
        <f>IF(C446="","",IF(COUNTIF(Inventory!$A$2:$A$501,C446)&lt;&gt;1,"Check lot ID",IF(OR(A446="",B446="",E446="",F446=""),"Complete required fields",IF(COUNTIF($B$2:$B$501,B446)&gt;1,"Duplicate sale ID",IF(AND(D446&lt;&gt;"",COUNTIF(Clients!$A$2:$A$501,D446)&lt;&gt;1),"Check client ID",IF(VLOOKUP(C446,Inventory!$A$2:$L$501,12,FALSE)&lt;0,"OVER SOLD","OK"))))))</f>
        <v/>
      </c>
    </row>
    <row r="447" ht="23" customHeight="1">
      <c r="A447" s="18" t="n"/>
      <c r="B447" s="14" t="n"/>
      <c r="C447" s="14" t="n"/>
      <c r="D447" s="14" t="n"/>
      <c r="E447" s="15" t="n"/>
      <c r="F447" s="16" t="n"/>
      <c r="G447" s="13">
        <f>IF(C447="","",ROUND(E447*F447,2))</f>
        <v/>
      </c>
      <c r="H447" s="13">
        <f>IF(C447="","",IFERROR(VLOOKUP(C447,Inventory!$A$2:$J$501,9,FALSE),0))</f>
        <v/>
      </c>
      <c r="I447" s="13">
        <f>IF(C447="","",ROUND(E447*H447,2))</f>
        <v/>
      </c>
      <c r="J447" s="16" t="n"/>
      <c r="K447" s="16" t="n"/>
      <c r="L447" s="13">
        <f>IF(C447="","",ROUND(G447-I447-J447-K447,2))</f>
        <v/>
      </c>
      <c r="M447" s="15" t="n"/>
      <c r="N447" s="15" t="n"/>
      <c r="O447" s="12">
        <f>IF(C447="","",IFERROR(VLOOKUP(C447,Inventory!$A$2:$B$501,2,FALSE),"Unknown lot"))</f>
        <v/>
      </c>
      <c r="P447" s="12">
        <f>IF(D447="","",IFERROR(VLOOKUP(D447,Clients!$A$2:$B$501,2,FALSE),"Unknown client"))</f>
        <v/>
      </c>
      <c r="Q447" s="12">
        <f>IF(C447="","",IF(COUNTIF(Inventory!$A$2:$A$501,C447)&lt;&gt;1,"Check lot ID",IF(OR(A447="",B447="",E447="",F447=""),"Complete required fields",IF(COUNTIF($B$2:$B$501,B447)&gt;1,"Duplicate sale ID",IF(AND(D447&lt;&gt;"",COUNTIF(Clients!$A$2:$A$501,D447)&lt;&gt;1),"Check client ID",IF(VLOOKUP(C447,Inventory!$A$2:$L$501,12,FALSE)&lt;0,"OVER SOLD","OK"))))))</f>
        <v/>
      </c>
    </row>
    <row r="448" ht="23" customHeight="1">
      <c r="A448" s="17" t="n"/>
      <c r="B448" s="9" t="n"/>
      <c r="C448" s="9" t="n"/>
      <c r="D448" s="9" t="n"/>
      <c r="E448" s="10" t="n"/>
      <c r="F448" s="11" t="n"/>
      <c r="G448" s="13">
        <f>IF(C448="","",ROUND(E448*F448,2))</f>
        <v/>
      </c>
      <c r="H448" s="13">
        <f>IF(C448="","",IFERROR(VLOOKUP(C448,Inventory!$A$2:$J$501,9,FALSE),0))</f>
        <v/>
      </c>
      <c r="I448" s="13">
        <f>IF(C448="","",ROUND(E448*H448,2))</f>
        <v/>
      </c>
      <c r="J448" s="11" t="n"/>
      <c r="K448" s="11" t="n"/>
      <c r="L448" s="13">
        <f>IF(C448="","",ROUND(G448-I448-J448-K448,2))</f>
        <v/>
      </c>
      <c r="M448" s="10" t="n"/>
      <c r="N448" s="10" t="n"/>
      <c r="O448" s="12">
        <f>IF(C448="","",IFERROR(VLOOKUP(C448,Inventory!$A$2:$B$501,2,FALSE),"Unknown lot"))</f>
        <v/>
      </c>
      <c r="P448" s="12">
        <f>IF(D448="","",IFERROR(VLOOKUP(D448,Clients!$A$2:$B$501,2,FALSE),"Unknown client"))</f>
        <v/>
      </c>
      <c r="Q448" s="12">
        <f>IF(C448="","",IF(COUNTIF(Inventory!$A$2:$A$501,C448)&lt;&gt;1,"Check lot ID",IF(OR(A448="",B448="",E448="",F448=""),"Complete required fields",IF(COUNTIF($B$2:$B$501,B448)&gt;1,"Duplicate sale ID",IF(AND(D448&lt;&gt;"",COUNTIF(Clients!$A$2:$A$501,D448)&lt;&gt;1),"Check client ID",IF(VLOOKUP(C448,Inventory!$A$2:$L$501,12,FALSE)&lt;0,"OVER SOLD","OK"))))))</f>
        <v/>
      </c>
    </row>
    <row r="449" ht="23" customHeight="1">
      <c r="A449" s="18" t="n"/>
      <c r="B449" s="14" t="n"/>
      <c r="C449" s="14" t="n"/>
      <c r="D449" s="14" t="n"/>
      <c r="E449" s="15" t="n"/>
      <c r="F449" s="16" t="n"/>
      <c r="G449" s="13">
        <f>IF(C449="","",ROUND(E449*F449,2))</f>
        <v/>
      </c>
      <c r="H449" s="13">
        <f>IF(C449="","",IFERROR(VLOOKUP(C449,Inventory!$A$2:$J$501,9,FALSE),0))</f>
        <v/>
      </c>
      <c r="I449" s="13">
        <f>IF(C449="","",ROUND(E449*H449,2))</f>
        <v/>
      </c>
      <c r="J449" s="16" t="n"/>
      <c r="K449" s="16" t="n"/>
      <c r="L449" s="13">
        <f>IF(C449="","",ROUND(G449-I449-J449-K449,2))</f>
        <v/>
      </c>
      <c r="M449" s="15" t="n"/>
      <c r="N449" s="15" t="n"/>
      <c r="O449" s="12">
        <f>IF(C449="","",IFERROR(VLOOKUP(C449,Inventory!$A$2:$B$501,2,FALSE),"Unknown lot"))</f>
        <v/>
      </c>
      <c r="P449" s="12">
        <f>IF(D449="","",IFERROR(VLOOKUP(D449,Clients!$A$2:$B$501,2,FALSE),"Unknown client"))</f>
        <v/>
      </c>
      <c r="Q449" s="12">
        <f>IF(C449="","",IF(COUNTIF(Inventory!$A$2:$A$501,C449)&lt;&gt;1,"Check lot ID",IF(OR(A449="",B449="",E449="",F449=""),"Complete required fields",IF(COUNTIF($B$2:$B$501,B449)&gt;1,"Duplicate sale ID",IF(AND(D449&lt;&gt;"",COUNTIF(Clients!$A$2:$A$501,D449)&lt;&gt;1),"Check client ID",IF(VLOOKUP(C449,Inventory!$A$2:$L$501,12,FALSE)&lt;0,"OVER SOLD","OK"))))))</f>
        <v/>
      </c>
    </row>
    <row r="450" ht="23" customHeight="1">
      <c r="A450" s="17" t="n"/>
      <c r="B450" s="9" t="n"/>
      <c r="C450" s="9" t="n"/>
      <c r="D450" s="9" t="n"/>
      <c r="E450" s="10" t="n"/>
      <c r="F450" s="11" t="n"/>
      <c r="G450" s="13">
        <f>IF(C450="","",ROUND(E450*F450,2))</f>
        <v/>
      </c>
      <c r="H450" s="13">
        <f>IF(C450="","",IFERROR(VLOOKUP(C450,Inventory!$A$2:$J$501,9,FALSE),0))</f>
        <v/>
      </c>
      <c r="I450" s="13">
        <f>IF(C450="","",ROUND(E450*H450,2))</f>
        <v/>
      </c>
      <c r="J450" s="11" t="n"/>
      <c r="K450" s="11" t="n"/>
      <c r="L450" s="13">
        <f>IF(C450="","",ROUND(G450-I450-J450-K450,2))</f>
        <v/>
      </c>
      <c r="M450" s="10" t="n"/>
      <c r="N450" s="10" t="n"/>
      <c r="O450" s="12">
        <f>IF(C450="","",IFERROR(VLOOKUP(C450,Inventory!$A$2:$B$501,2,FALSE),"Unknown lot"))</f>
        <v/>
      </c>
      <c r="P450" s="12">
        <f>IF(D450="","",IFERROR(VLOOKUP(D450,Clients!$A$2:$B$501,2,FALSE),"Unknown client"))</f>
        <v/>
      </c>
      <c r="Q450" s="12">
        <f>IF(C450="","",IF(COUNTIF(Inventory!$A$2:$A$501,C450)&lt;&gt;1,"Check lot ID",IF(OR(A450="",B450="",E450="",F450=""),"Complete required fields",IF(COUNTIF($B$2:$B$501,B450)&gt;1,"Duplicate sale ID",IF(AND(D450&lt;&gt;"",COUNTIF(Clients!$A$2:$A$501,D450)&lt;&gt;1),"Check client ID",IF(VLOOKUP(C450,Inventory!$A$2:$L$501,12,FALSE)&lt;0,"OVER SOLD","OK"))))))</f>
        <v/>
      </c>
    </row>
    <row r="451" ht="23" customHeight="1">
      <c r="A451" s="18" t="n"/>
      <c r="B451" s="14" t="n"/>
      <c r="C451" s="14" t="n"/>
      <c r="D451" s="14" t="n"/>
      <c r="E451" s="15" t="n"/>
      <c r="F451" s="16" t="n"/>
      <c r="G451" s="13">
        <f>IF(C451="","",ROUND(E451*F451,2))</f>
        <v/>
      </c>
      <c r="H451" s="13">
        <f>IF(C451="","",IFERROR(VLOOKUP(C451,Inventory!$A$2:$J$501,9,FALSE),0))</f>
        <v/>
      </c>
      <c r="I451" s="13">
        <f>IF(C451="","",ROUND(E451*H451,2))</f>
        <v/>
      </c>
      <c r="J451" s="16" t="n"/>
      <c r="K451" s="16" t="n"/>
      <c r="L451" s="13">
        <f>IF(C451="","",ROUND(G451-I451-J451-K451,2))</f>
        <v/>
      </c>
      <c r="M451" s="15" t="n"/>
      <c r="N451" s="15" t="n"/>
      <c r="O451" s="12">
        <f>IF(C451="","",IFERROR(VLOOKUP(C451,Inventory!$A$2:$B$501,2,FALSE),"Unknown lot"))</f>
        <v/>
      </c>
      <c r="P451" s="12">
        <f>IF(D451="","",IFERROR(VLOOKUP(D451,Clients!$A$2:$B$501,2,FALSE),"Unknown client"))</f>
        <v/>
      </c>
      <c r="Q451" s="12">
        <f>IF(C451="","",IF(COUNTIF(Inventory!$A$2:$A$501,C451)&lt;&gt;1,"Check lot ID",IF(OR(A451="",B451="",E451="",F451=""),"Complete required fields",IF(COUNTIF($B$2:$B$501,B451)&gt;1,"Duplicate sale ID",IF(AND(D451&lt;&gt;"",COUNTIF(Clients!$A$2:$A$501,D451)&lt;&gt;1),"Check client ID",IF(VLOOKUP(C451,Inventory!$A$2:$L$501,12,FALSE)&lt;0,"OVER SOLD","OK"))))))</f>
        <v/>
      </c>
    </row>
    <row r="452" ht="23" customHeight="1">
      <c r="A452" s="17" t="n"/>
      <c r="B452" s="9" t="n"/>
      <c r="C452" s="9" t="n"/>
      <c r="D452" s="9" t="n"/>
      <c r="E452" s="10" t="n"/>
      <c r="F452" s="11" t="n"/>
      <c r="G452" s="13">
        <f>IF(C452="","",ROUND(E452*F452,2))</f>
        <v/>
      </c>
      <c r="H452" s="13">
        <f>IF(C452="","",IFERROR(VLOOKUP(C452,Inventory!$A$2:$J$501,9,FALSE),0))</f>
        <v/>
      </c>
      <c r="I452" s="13">
        <f>IF(C452="","",ROUND(E452*H452,2))</f>
        <v/>
      </c>
      <c r="J452" s="11" t="n"/>
      <c r="K452" s="11" t="n"/>
      <c r="L452" s="13">
        <f>IF(C452="","",ROUND(G452-I452-J452-K452,2))</f>
        <v/>
      </c>
      <c r="M452" s="10" t="n"/>
      <c r="N452" s="10" t="n"/>
      <c r="O452" s="12">
        <f>IF(C452="","",IFERROR(VLOOKUP(C452,Inventory!$A$2:$B$501,2,FALSE),"Unknown lot"))</f>
        <v/>
      </c>
      <c r="P452" s="12">
        <f>IF(D452="","",IFERROR(VLOOKUP(D452,Clients!$A$2:$B$501,2,FALSE),"Unknown client"))</f>
        <v/>
      </c>
      <c r="Q452" s="12">
        <f>IF(C452="","",IF(COUNTIF(Inventory!$A$2:$A$501,C452)&lt;&gt;1,"Check lot ID",IF(OR(A452="",B452="",E452="",F452=""),"Complete required fields",IF(COUNTIF($B$2:$B$501,B452)&gt;1,"Duplicate sale ID",IF(AND(D452&lt;&gt;"",COUNTIF(Clients!$A$2:$A$501,D452)&lt;&gt;1),"Check client ID",IF(VLOOKUP(C452,Inventory!$A$2:$L$501,12,FALSE)&lt;0,"OVER SOLD","OK"))))))</f>
        <v/>
      </c>
    </row>
    <row r="453" ht="23" customHeight="1">
      <c r="A453" s="18" t="n"/>
      <c r="B453" s="14" t="n"/>
      <c r="C453" s="14" t="n"/>
      <c r="D453" s="14" t="n"/>
      <c r="E453" s="15" t="n"/>
      <c r="F453" s="16" t="n"/>
      <c r="G453" s="13">
        <f>IF(C453="","",ROUND(E453*F453,2))</f>
        <v/>
      </c>
      <c r="H453" s="13">
        <f>IF(C453="","",IFERROR(VLOOKUP(C453,Inventory!$A$2:$J$501,9,FALSE),0))</f>
        <v/>
      </c>
      <c r="I453" s="13">
        <f>IF(C453="","",ROUND(E453*H453,2))</f>
        <v/>
      </c>
      <c r="J453" s="16" t="n"/>
      <c r="K453" s="16" t="n"/>
      <c r="L453" s="13">
        <f>IF(C453="","",ROUND(G453-I453-J453-K453,2))</f>
        <v/>
      </c>
      <c r="M453" s="15" t="n"/>
      <c r="N453" s="15" t="n"/>
      <c r="O453" s="12">
        <f>IF(C453="","",IFERROR(VLOOKUP(C453,Inventory!$A$2:$B$501,2,FALSE),"Unknown lot"))</f>
        <v/>
      </c>
      <c r="P453" s="12">
        <f>IF(D453="","",IFERROR(VLOOKUP(D453,Clients!$A$2:$B$501,2,FALSE),"Unknown client"))</f>
        <v/>
      </c>
      <c r="Q453" s="12">
        <f>IF(C453="","",IF(COUNTIF(Inventory!$A$2:$A$501,C453)&lt;&gt;1,"Check lot ID",IF(OR(A453="",B453="",E453="",F453=""),"Complete required fields",IF(COUNTIF($B$2:$B$501,B453)&gt;1,"Duplicate sale ID",IF(AND(D453&lt;&gt;"",COUNTIF(Clients!$A$2:$A$501,D453)&lt;&gt;1),"Check client ID",IF(VLOOKUP(C453,Inventory!$A$2:$L$501,12,FALSE)&lt;0,"OVER SOLD","OK"))))))</f>
        <v/>
      </c>
    </row>
    <row r="454" ht="23" customHeight="1">
      <c r="A454" s="17" t="n"/>
      <c r="B454" s="9" t="n"/>
      <c r="C454" s="9" t="n"/>
      <c r="D454" s="9" t="n"/>
      <c r="E454" s="10" t="n"/>
      <c r="F454" s="11" t="n"/>
      <c r="G454" s="13">
        <f>IF(C454="","",ROUND(E454*F454,2))</f>
        <v/>
      </c>
      <c r="H454" s="13">
        <f>IF(C454="","",IFERROR(VLOOKUP(C454,Inventory!$A$2:$J$501,9,FALSE),0))</f>
        <v/>
      </c>
      <c r="I454" s="13">
        <f>IF(C454="","",ROUND(E454*H454,2))</f>
        <v/>
      </c>
      <c r="J454" s="11" t="n"/>
      <c r="K454" s="11" t="n"/>
      <c r="L454" s="13">
        <f>IF(C454="","",ROUND(G454-I454-J454-K454,2))</f>
        <v/>
      </c>
      <c r="M454" s="10" t="n"/>
      <c r="N454" s="10" t="n"/>
      <c r="O454" s="12">
        <f>IF(C454="","",IFERROR(VLOOKUP(C454,Inventory!$A$2:$B$501,2,FALSE),"Unknown lot"))</f>
        <v/>
      </c>
      <c r="P454" s="12">
        <f>IF(D454="","",IFERROR(VLOOKUP(D454,Clients!$A$2:$B$501,2,FALSE),"Unknown client"))</f>
        <v/>
      </c>
      <c r="Q454" s="12">
        <f>IF(C454="","",IF(COUNTIF(Inventory!$A$2:$A$501,C454)&lt;&gt;1,"Check lot ID",IF(OR(A454="",B454="",E454="",F454=""),"Complete required fields",IF(COUNTIF($B$2:$B$501,B454)&gt;1,"Duplicate sale ID",IF(AND(D454&lt;&gt;"",COUNTIF(Clients!$A$2:$A$501,D454)&lt;&gt;1),"Check client ID",IF(VLOOKUP(C454,Inventory!$A$2:$L$501,12,FALSE)&lt;0,"OVER SOLD","OK"))))))</f>
        <v/>
      </c>
    </row>
    <row r="455" ht="23" customHeight="1">
      <c r="A455" s="18" t="n"/>
      <c r="B455" s="14" t="n"/>
      <c r="C455" s="14" t="n"/>
      <c r="D455" s="14" t="n"/>
      <c r="E455" s="15" t="n"/>
      <c r="F455" s="16" t="n"/>
      <c r="G455" s="13">
        <f>IF(C455="","",ROUND(E455*F455,2))</f>
        <v/>
      </c>
      <c r="H455" s="13">
        <f>IF(C455="","",IFERROR(VLOOKUP(C455,Inventory!$A$2:$J$501,9,FALSE),0))</f>
        <v/>
      </c>
      <c r="I455" s="13">
        <f>IF(C455="","",ROUND(E455*H455,2))</f>
        <v/>
      </c>
      <c r="J455" s="16" t="n"/>
      <c r="K455" s="16" t="n"/>
      <c r="L455" s="13">
        <f>IF(C455="","",ROUND(G455-I455-J455-K455,2))</f>
        <v/>
      </c>
      <c r="M455" s="15" t="n"/>
      <c r="N455" s="15" t="n"/>
      <c r="O455" s="12">
        <f>IF(C455="","",IFERROR(VLOOKUP(C455,Inventory!$A$2:$B$501,2,FALSE),"Unknown lot"))</f>
        <v/>
      </c>
      <c r="P455" s="12">
        <f>IF(D455="","",IFERROR(VLOOKUP(D455,Clients!$A$2:$B$501,2,FALSE),"Unknown client"))</f>
        <v/>
      </c>
      <c r="Q455" s="12">
        <f>IF(C455="","",IF(COUNTIF(Inventory!$A$2:$A$501,C455)&lt;&gt;1,"Check lot ID",IF(OR(A455="",B455="",E455="",F455=""),"Complete required fields",IF(COUNTIF($B$2:$B$501,B455)&gt;1,"Duplicate sale ID",IF(AND(D455&lt;&gt;"",COUNTIF(Clients!$A$2:$A$501,D455)&lt;&gt;1),"Check client ID",IF(VLOOKUP(C455,Inventory!$A$2:$L$501,12,FALSE)&lt;0,"OVER SOLD","OK"))))))</f>
        <v/>
      </c>
    </row>
    <row r="456" ht="23" customHeight="1">
      <c r="A456" s="17" t="n"/>
      <c r="B456" s="9" t="n"/>
      <c r="C456" s="9" t="n"/>
      <c r="D456" s="9" t="n"/>
      <c r="E456" s="10" t="n"/>
      <c r="F456" s="11" t="n"/>
      <c r="G456" s="13">
        <f>IF(C456="","",ROUND(E456*F456,2))</f>
        <v/>
      </c>
      <c r="H456" s="13">
        <f>IF(C456="","",IFERROR(VLOOKUP(C456,Inventory!$A$2:$J$501,9,FALSE),0))</f>
        <v/>
      </c>
      <c r="I456" s="13">
        <f>IF(C456="","",ROUND(E456*H456,2))</f>
        <v/>
      </c>
      <c r="J456" s="11" t="n"/>
      <c r="K456" s="11" t="n"/>
      <c r="L456" s="13">
        <f>IF(C456="","",ROUND(G456-I456-J456-K456,2))</f>
        <v/>
      </c>
      <c r="M456" s="10" t="n"/>
      <c r="N456" s="10" t="n"/>
      <c r="O456" s="12">
        <f>IF(C456="","",IFERROR(VLOOKUP(C456,Inventory!$A$2:$B$501,2,FALSE),"Unknown lot"))</f>
        <v/>
      </c>
      <c r="P456" s="12">
        <f>IF(D456="","",IFERROR(VLOOKUP(D456,Clients!$A$2:$B$501,2,FALSE),"Unknown client"))</f>
        <v/>
      </c>
      <c r="Q456" s="12">
        <f>IF(C456="","",IF(COUNTIF(Inventory!$A$2:$A$501,C456)&lt;&gt;1,"Check lot ID",IF(OR(A456="",B456="",E456="",F456=""),"Complete required fields",IF(COUNTIF($B$2:$B$501,B456)&gt;1,"Duplicate sale ID",IF(AND(D456&lt;&gt;"",COUNTIF(Clients!$A$2:$A$501,D456)&lt;&gt;1),"Check client ID",IF(VLOOKUP(C456,Inventory!$A$2:$L$501,12,FALSE)&lt;0,"OVER SOLD","OK"))))))</f>
        <v/>
      </c>
    </row>
    <row r="457" ht="23" customHeight="1">
      <c r="A457" s="18" t="n"/>
      <c r="B457" s="14" t="n"/>
      <c r="C457" s="14" t="n"/>
      <c r="D457" s="14" t="n"/>
      <c r="E457" s="15" t="n"/>
      <c r="F457" s="16" t="n"/>
      <c r="G457" s="13">
        <f>IF(C457="","",ROUND(E457*F457,2))</f>
        <v/>
      </c>
      <c r="H457" s="13">
        <f>IF(C457="","",IFERROR(VLOOKUP(C457,Inventory!$A$2:$J$501,9,FALSE),0))</f>
        <v/>
      </c>
      <c r="I457" s="13">
        <f>IF(C457="","",ROUND(E457*H457,2))</f>
        <v/>
      </c>
      <c r="J457" s="16" t="n"/>
      <c r="K457" s="16" t="n"/>
      <c r="L457" s="13">
        <f>IF(C457="","",ROUND(G457-I457-J457-K457,2))</f>
        <v/>
      </c>
      <c r="M457" s="15" t="n"/>
      <c r="N457" s="15" t="n"/>
      <c r="O457" s="12">
        <f>IF(C457="","",IFERROR(VLOOKUP(C457,Inventory!$A$2:$B$501,2,FALSE),"Unknown lot"))</f>
        <v/>
      </c>
      <c r="P457" s="12">
        <f>IF(D457="","",IFERROR(VLOOKUP(D457,Clients!$A$2:$B$501,2,FALSE),"Unknown client"))</f>
        <v/>
      </c>
      <c r="Q457" s="12">
        <f>IF(C457="","",IF(COUNTIF(Inventory!$A$2:$A$501,C457)&lt;&gt;1,"Check lot ID",IF(OR(A457="",B457="",E457="",F457=""),"Complete required fields",IF(COUNTIF($B$2:$B$501,B457)&gt;1,"Duplicate sale ID",IF(AND(D457&lt;&gt;"",COUNTIF(Clients!$A$2:$A$501,D457)&lt;&gt;1),"Check client ID",IF(VLOOKUP(C457,Inventory!$A$2:$L$501,12,FALSE)&lt;0,"OVER SOLD","OK"))))))</f>
        <v/>
      </c>
    </row>
    <row r="458" ht="23" customHeight="1">
      <c r="A458" s="17" t="n"/>
      <c r="B458" s="9" t="n"/>
      <c r="C458" s="9" t="n"/>
      <c r="D458" s="9" t="n"/>
      <c r="E458" s="10" t="n"/>
      <c r="F458" s="11" t="n"/>
      <c r="G458" s="13">
        <f>IF(C458="","",ROUND(E458*F458,2))</f>
        <v/>
      </c>
      <c r="H458" s="13">
        <f>IF(C458="","",IFERROR(VLOOKUP(C458,Inventory!$A$2:$J$501,9,FALSE),0))</f>
        <v/>
      </c>
      <c r="I458" s="13">
        <f>IF(C458="","",ROUND(E458*H458,2))</f>
        <v/>
      </c>
      <c r="J458" s="11" t="n"/>
      <c r="K458" s="11" t="n"/>
      <c r="L458" s="13">
        <f>IF(C458="","",ROUND(G458-I458-J458-K458,2))</f>
        <v/>
      </c>
      <c r="M458" s="10" t="n"/>
      <c r="N458" s="10" t="n"/>
      <c r="O458" s="12">
        <f>IF(C458="","",IFERROR(VLOOKUP(C458,Inventory!$A$2:$B$501,2,FALSE),"Unknown lot"))</f>
        <v/>
      </c>
      <c r="P458" s="12">
        <f>IF(D458="","",IFERROR(VLOOKUP(D458,Clients!$A$2:$B$501,2,FALSE),"Unknown client"))</f>
        <v/>
      </c>
      <c r="Q458" s="12">
        <f>IF(C458="","",IF(COUNTIF(Inventory!$A$2:$A$501,C458)&lt;&gt;1,"Check lot ID",IF(OR(A458="",B458="",E458="",F458=""),"Complete required fields",IF(COUNTIF($B$2:$B$501,B458)&gt;1,"Duplicate sale ID",IF(AND(D458&lt;&gt;"",COUNTIF(Clients!$A$2:$A$501,D458)&lt;&gt;1),"Check client ID",IF(VLOOKUP(C458,Inventory!$A$2:$L$501,12,FALSE)&lt;0,"OVER SOLD","OK"))))))</f>
        <v/>
      </c>
    </row>
    <row r="459" ht="23" customHeight="1">
      <c r="A459" s="18" t="n"/>
      <c r="B459" s="14" t="n"/>
      <c r="C459" s="14" t="n"/>
      <c r="D459" s="14" t="n"/>
      <c r="E459" s="15" t="n"/>
      <c r="F459" s="16" t="n"/>
      <c r="G459" s="13">
        <f>IF(C459="","",ROUND(E459*F459,2))</f>
        <v/>
      </c>
      <c r="H459" s="13">
        <f>IF(C459="","",IFERROR(VLOOKUP(C459,Inventory!$A$2:$J$501,9,FALSE),0))</f>
        <v/>
      </c>
      <c r="I459" s="13">
        <f>IF(C459="","",ROUND(E459*H459,2))</f>
        <v/>
      </c>
      <c r="J459" s="16" t="n"/>
      <c r="K459" s="16" t="n"/>
      <c r="L459" s="13">
        <f>IF(C459="","",ROUND(G459-I459-J459-K459,2))</f>
        <v/>
      </c>
      <c r="M459" s="15" t="n"/>
      <c r="N459" s="15" t="n"/>
      <c r="O459" s="12">
        <f>IF(C459="","",IFERROR(VLOOKUP(C459,Inventory!$A$2:$B$501,2,FALSE),"Unknown lot"))</f>
        <v/>
      </c>
      <c r="P459" s="12">
        <f>IF(D459="","",IFERROR(VLOOKUP(D459,Clients!$A$2:$B$501,2,FALSE),"Unknown client"))</f>
        <v/>
      </c>
      <c r="Q459" s="12">
        <f>IF(C459="","",IF(COUNTIF(Inventory!$A$2:$A$501,C459)&lt;&gt;1,"Check lot ID",IF(OR(A459="",B459="",E459="",F459=""),"Complete required fields",IF(COUNTIF($B$2:$B$501,B459)&gt;1,"Duplicate sale ID",IF(AND(D459&lt;&gt;"",COUNTIF(Clients!$A$2:$A$501,D459)&lt;&gt;1),"Check client ID",IF(VLOOKUP(C459,Inventory!$A$2:$L$501,12,FALSE)&lt;0,"OVER SOLD","OK"))))))</f>
        <v/>
      </c>
    </row>
    <row r="460" ht="23" customHeight="1">
      <c r="A460" s="17" t="n"/>
      <c r="B460" s="9" t="n"/>
      <c r="C460" s="9" t="n"/>
      <c r="D460" s="9" t="n"/>
      <c r="E460" s="10" t="n"/>
      <c r="F460" s="11" t="n"/>
      <c r="G460" s="13">
        <f>IF(C460="","",ROUND(E460*F460,2))</f>
        <v/>
      </c>
      <c r="H460" s="13">
        <f>IF(C460="","",IFERROR(VLOOKUP(C460,Inventory!$A$2:$J$501,9,FALSE),0))</f>
        <v/>
      </c>
      <c r="I460" s="13">
        <f>IF(C460="","",ROUND(E460*H460,2))</f>
        <v/>
      </c>
      <c r="J460" s="11" t="n"/>
      <c r="K460" s="11" t="n"/>
      <c r="L460" s="13">
        <f>IF(C460="","",ROUND(G460-I460-J460-K460,2))</f>
        <v/>
      </c>
      <c r="M460" s="10" t="n"/>
      <c r="N460" s="10" t="n"/>
      <c r="O460" s="12">
        <f>IF(C460="","",IFERROR(VLOOKUP(C460,Inventory!$A$2:$B$501,2,FALSE),"Unknown lot"))</f>
        <v/>
      </c>
      <c r="P460" s="12">
        <f>IF(D460="","",IFERROR(VLOOKUP(D460,Clients!$A$2:$B$501,2,FALSE),"Unknown client"))</f>
        <v/>
      </c>
      <c r="Q460" s="12">
        <f>IF(C460="","",IF(COUNTIF(Inventory!$A$2:$A$501,C460)&lt;&gt;1,"Check lot ID",IF(OR(A460="",B460="",E460="",F460=""),"Complete required fields",IF(COUNTIF($B$2:$B$501,B460)&gt;1,"Duplicate sale ID",IF(AND(D460&lt;&gt;"",COUNTIF(Clients!$A$2:$A$501,D460)&lt;&gt;1),"Check client ID",IF(VLOOKUP(C460,Inventory!$A$2:$L$501,12,FALSE)&lt;0,"OVER SOLD","OK"))))))</f>
        <v/>
      </c>
    </row>
    <row r="461" ht="23" customHeight="1">
      <c r="A461" s="18" t="n"/>
      <c r="B461" s="14" t="n"/>
      <c r="C461" s="14" t="n"/>
      <c r="D461" s="14" t="n"/>
      <c r="E461" s="15" t="n"/>
      <c r="F461" s="16" t="n"/>
      <c r="G461" s="13">
        <f>IF(C461="","",ROUND(E461*F461,2))</f>
        <v/>
      </c>
      <c r="H461" s="13">
        <f>IF(C461="","",IFERROR(VLOOKUP(C461,Inventory!$A$2:$J$501,9,FALSE),0))</f>
        <v/>
      </c>
      <c r="I461" s="13">
        <f>IF(C461="","",ROUND(E461*H461,2))</f>
        <v/>
      </c>
      <c r="J461" s="16" t="n"/>
      <c r="K461" s="16" t="n"/>
      <c r="L461" s="13">
        <f>IF(C461="","",ROUND(G461-I461-J461-K461,2))</f>
        <v/>
      </c>
      <c r="M461" s="15" t="n"/>
      <c r="N461" s="15" t="n"/>
      <c r="O461" s="12">
        <f>IF(C461="","",IFERROR(VLOOKUP(C461,Inventory!$A$2:$B$501,2,FALSE),"Unknown lot"))</f>
        <v/>
      </c>
      <c r="P461" s="12">
        <f>IF(D461="","",IFERROR(VLOOKUP(D461,Clients!$A$2:$B$501,2,FALSE),"Unknown client"))</f>
        <v/>
      </c>
      <c r="Q461" s="12">
        <f>IF(C461="","",IF(COUNTIF(Inventory!$A$2:$A$501,C461)&lt;&gt;1,"Check lot ID",IF(OR(A461="",B461="",E461="",F461=""),"Complete required fields",IF(COUNTIF($B$2:$B$501,B461)&gt;1,"Duplicate sale ID",IF(AND(D461&lt;&gt;"",COUNTIF(Clients!$A$2:$A$501,D461)&lt;&gt;1),"Check client ID",IF(VLOOKUP(C461,Inventory!$A$2:$L$501,12,FALSE)&lt;0,"OVER SOLD","OK"))))))</f>
        <v/>
      </c>
    </row>
    <row r="462" ht="23" customHeight="1">
      <c r="A462" s="17" t="n"/>
      <c r="B462" s="9" t="n"/>
      <c r="C462" s="9" t="n"/>
      <c r="D462" s="9" t="n"/>
      <c r="E462" s="10" t="n"/>
      <c r="F462" s="11" t="n"/>
      <c r="G462" s="13">
        <f>IF(C462="","",ROUND(E462*F462,2))</f>
        <v/>
      </c>
      <c r="H462" s="13">
        <f>IF(C462="","",IFERROR(VLOOKUP(C462,Inventory!$A$2:$J$501,9,FALSE),0))</f>
        <v/>
      </c>
      <c r="I462" s="13">
        <f>IF(C462="","",ROUND(E462*H462,2))</f>
        <v/>
      </c>
      <c r="J462" s="11" t="n"/>
      <c r="K462" s="11" t="n"/>
      <c r="L462" s="13">
        <f>IF(C462="","",ROUND(G462-I462-J462-K462,2))</f>
        <v/>
      </c>
      <c r="M462" s="10" t="n"/>
      <c r="N462" s="10" t="n"/>
      <c r="O462" s="12">
        <f>IF(C462="","",IFERROR(VLOOKUP(C462,Inventory!$A$2:$B$501,2,FALSE),"Unknown lot"))</f>
        <v/>
      </c>
      <c r="P462" s="12">
        <f>IF(D462="","",IFERROR(VLOOKUP(D462,Clients!$A$2:$B$501,2,FALSE),"Unknown client"))</f>
        <v/>
      </c>
      <c r="Q462" s="12">
        <f>IF(C462="","",IF(COUNTIF(Inventory!$A$2:$A$501,C462)&lt;&gt;1,"Check lot ID",IF(OR(A462="",B462="",E462="",F462=""),"Complete required fields",IF(COUNTIF($B$2:$B$501,B462)&gt;1,"Duplicate sale ID",IF(AND(D462&lt;&gt;"",COUNTIF(Clients!$A$2:$A$501,D462)&lt;&gt;1),"Check client ID",IF(VLOOKUP(C462,Inventory!$A$2:$L$501,12,FALSE)&lt;0,"OVER SOLD","OK"))))))</f>
        <v/>
      </c>
    </row>
    <row r="463" ht="23" customHeight="1">
      <c r="A463" s="18" t="n"/>
      <c r="B463" s="14" t="n"/>
      <c r="C463" s="14" t="n"/>
      <c r="D463" s="14" t="n"/>
      <c r="E463" s="15" t="n"/>
      <c r="F463" s="16" t="n"/>
      <c r="G463" s="13">
        <f>IF(C463="","",ROUND(E463*F463,2))</f>
        <v/>
      </c>
      <c r="H463" s="13">
        <f>IF(C463="","",IFERROR(VLOOKUP(C463,Inventory!$A$2:$J$501,9,FALSE),0))</f>
        <v/>
      </c>
      <c r="I463" s="13">
        <f>IF(C463="","",ROUND(E463*H463,2))</f>
        <v/>
      </c>
      <c r="J463" s="16" t="n"/>
      <c r="K463" s="16" t="n"/>
      <c r="L463" s="13">
        <f>IF(C463="","",ROUND(G463-I463-J463-K463,2))</f>
        <v/>
      </c>
      <c r="M463" s="15" t="n"/>
      <c r="N463" s="15" t="n"/>
      <c r="O463" s="12">
        <f>IF(C463="","",IFERROR(VLOOKUP(C463,Inventory!$A$2:$B$501,2,FALSE),"Unknown lot"))</f>
        <v/>
      </c>
      <c r="P463" s="12">
        <f>IF(D463="","",IFERROR(VLOOKUP(D463,Clients!$A$2:$B$501,2,FALSE),"Unknown client"))</f>
        <v/>
      </c>
      <c r="Q463" s="12">
        <f>IF(C463="","",IF(COUNTIF(Inventory!$A$2:$A$501,C463)&lt;&gt;1,"Check lot ID",IF(OR(A463="",B463="",E463="",F463=""),"Complete required fields",IF(COUNTIF($B$2:$B$501,B463)&gt;1,"Duplicate sale ID",IF(AND(D463&lt;&gt;"",COUNTIF(Clients!$A$2:$A$501,D463)&lt;&gt;1),"Check client ID",IF(VLOOKUP(C463,Inventory!$A$2:$L$501,12,FALSE)&lt;0,"OVER SOLD","OK"))))))</f>
        <v/>
      </c>
    </row>
    <row r="464" ht="23" customHeight="1">
      <c r="A464" s="17" t="n"/>
      <c r="B464" s="9" t="n"/>
      <c r="C464" s="9" t="n"/>
      <c r="D464" s="9" t="n"/>
      <c r="E464" s="10" t="n"/>
      <c r="F464" s="11" t="n"/>
      <c r="G464" s="13">
        <f>IF(C464="","",ROUND(E464*F464,2))</f>
        <v/>
      </c>
      <c r="H464" s="13">
        <f>IF(C464="","",IFERROR(VLOOKUP(C464,Inventory!$A$2:$J$501,9,FALSE),0))</f>
        <v/>
      </c>
      <c r="I464" s="13">
        <f>IF(C464="","",ROUND(E464*H464,2))</f>
        <v/>
      </c>
      <c r="J464" s="11" t="n"/>
      <c r="K464" s="11" t="n"/>
      <c r="L464" s="13">
        <f>IF(C464="","",ROUND(G464-I464-J464-K464,2))</f>
        <v/>
      </c>
      <c r="M464" s="10" t="n"/>
      <c r="N464" s="10" t="n"/>
      <c r="O464" s="12">
        <f>IF(C464="","",IFERROR(VLOOKUP(C464,Inventory!$A$2:$B$501,2,FALSE),"Unknown lot"))</f>
        <v/>
      </c>
      <c r="P464" s="12">
        <f>IF(D464="","",IFERROR(VLOOKUP(D464,Clients!$A$2:$B$501,2,FALSE),"Unknown client"))</f>
        <v/>
      </c>
      <c r="Q464" s="12">
        <f>IF(C464="","",IF(COUNTIF(Inventory!$A$2:$A$501,C464)&lt;&gt;1,"Check lot ID",IF(OR(A464="",B464="",E464="",F464=""),"Complete required fields",IF(COUNTIF($B$2:$B$501,B464)&gt;1,"Duplicate sale ID",IF(AND(D464&lt;&gt;"",COUNTIF(Clients!$A$2:$A$501,D464)&lt;&gt;1),"Check client ID",IF(VLOOKUP(C464,Inventory!$A$2:$L$501,12,FALSE)&lt;0,"OVER SOLD","OK"))))))</f>
        <v/>
      </c>
    </row>
    <row r="465" ht="23" customHeight="1">
      <c r="A465" s="18" t="n"/>
      <c r="B465" s="14" t="n"/>
      <c r="C465" s="14" t="n"/>
      <c r="D465" s="14" t="n"/>
      <c r="E465" s="15" t="n"/>
      <c r="F465" s="16" t="n"/>
      <c r="G465" s="13">
        <f>IF(C465="","",ROUND(E465*F465,2))</f>
        <v/>
      </c>
      <c r="H465" s="13">
        <f>IF(C465="","",IFERROR(VLOOKUP(C465,Inventory!$A$2:$J$501,9,FALSE),0))</f>
        <v/>
      </c>
      <c r="I465" s="13">
        <f>IF(C465="","",ROUND(E465*H465,2))</f>
        <v/>
      </c>
      <c r="J465" s="16" t="n"/>
      <c r="K465" s="16" t="n"/>
      <c r="L465" s="13">
        <f>IF(C465="","",ROUND(G465-I465-J465-K465,2))</f>
        <v/>
      </c>
      <c r="M465" s="15" t="n"/>
      <c r="N465" s="15" t="n"/>
      <c r="O465" s="12">
        <f>IF(C465="","",IFERROR(VLOOKUP(C465,Inventory!$A$2:$B$501,2,FALSE),"Unknown lot"))</f>
        <v/>
      </c>
      <c r="P465" s="12">
        <f>IF(D465="","",IFERROR(VLOOKUP(D465,Clients!$A$2:$B$501,2,FALSE),"Unknown client"))</f>
        <v/>
      </c>
      <c r="Q465" s="12">
        <f>IF(C465="","",IF(COUNTIF(Inventory!$A$2:$A$501,C465)&lt;&gt;1,"Check lot ID",IF(OR(A465="",B465="",E465="",F465=""),"Complete required fields",IF(COUNTIF($B$2:$B$501,B465)&gt;1,"Duplicate sale ID",IF(AND(D465&lt;&gt;"",COUNTIF(Clients!$A$2:$A$501,D465)&lt;&gt;1),"Check client ID",IF(VLOOKUP(C465,Inventory!$A$2:$L$501,12,FALSE)&lt;0,"OVER SOLD","OK"))))))</f>
        <v/>
      </c>
    </row>
    <row r="466" ht="23" customHeight="1">
      <c r="A466" s="17" t="n"/>
      <c r="B466" s="9" t="n"/>
      <c r="C466" s="9" t="n"/>
      <c r="D466" s="9" t="n"/>
      <c r="E466" s="10" t="n"/>
      <c r="F466" s="11" t="n"/>
      <c r="G466" s="13">
        <f>IF(C466="","",ROUND(E466*F466,2))</f>
        <v/>
      </c>
      <c r="H466" s="13">
        <f>IF(C466="","",IFERROR(VLOOKUP(C466,Inventory!$A$2:$J$501,9,FALSE),0))</f>
        <v/>
      </c>
      <c r="I466" s="13">
        <f>IF(C466="","",ROUND(E466*H466,2))</f>
        <v/>
      </c>
      <c r="J466" s="11" t="n"/>
      <c r="K466" s="11" t="n"/>
      <c r="L466" s="13">
        <f>IF(C466="","",ROUND(G466-I466-J466-K466,2))</f>
        <v/>
      </c>
      <c r="M466" s="10" t="n"/>
      <c r="N466" s="10" t="n"/>
      <c r="O466" s="12">
        <f>IF(C466="","",IFERROR(VLOOKUP(C466,Inventory!$A$2:$B$501,2,FALSE),"Unknown lot"))</f>
        <v/>
      </c>
      <c r="P466" s="12">
        <f>IF(D466="","",IFERROR(VLOOKUP(D466,Clients!$A$2:$B$501,2,FALSE),"Unknown client"))</f>
        <v/>
      </c>
      <c r="Q466" s="12">
        <f>IF(C466="","",IF(COUNTIF(Inventory!$A$2:$A$501,C466)&lt;&gt;1,"Check lot ID",IF(OR(A466="",B466="",E466="",F466=""),"Complete required fields",IF(COUNTIF($B$2:$B$501,B466)&gt;1,"Duplicate sale ID",IF(AND(D466&lt;&gt;"",COUNTIF(Clients!$A$2:$A$501,D466)&lt;&gt;1),"Check client ID",IF(VLOOKUP(C466,Inventory!$A$2:$L$501,12,FALSE)&lt;0,"OVER SOLD","OK"))))))</f>
        <v/>
      </c>
    </row>
    <row r="467" ht="23" customHeight="1">
      <c r="A467" s="18" t="n"/>
      <c r="B467" s="14" t="n"/>
      <c r="C467" s="14" t="n"/>
      <c r="D467" s="14" t="n"/>
      <c r="E467" s="15" t="n"/>
      <c r="F467" s="16" t="n"/>
      <c r="G467" s="13">
        <f>IF(C467="","",ROUND(E467*F467,2))</f>
        <v/>
      </c>
      <c r="H467" s="13">
        <f>IF(C467="","",IFERROR(VLOOKUP(C467,Inventory!$A$2:$J$501,9,FALSE),0))</f>
        <v/>
      </c>
      <c r="I467" s="13">
        <f>IF(C467="","",ROUND(E467*H467,2))</f>
        <v/>
      </c>
      <c r="J467" s="16" t="n"/>
      <c r="K467" s="16" t="n"/>
      <c r="L467" s="13">
        <f>IF(C467="","",ROUND(G467-I467-J467-K467,2))</f>
        <v/>
      </c>
      <c r="M467" s="15" t="n"/>
      <c r="N467" s="15" t="n"/>
      <c r="O467" s="12">
        <f>IF(C467="","",IFERROR(VLOOKUP(C467,Inventory!$A$2:$B$501,2,FALSE),"Unknown lot"))</f>
        <v/>
      </c>
      <c r="P467" s="12">
        <f>IF(D467="","",IFERROR(VLOOKUP(D467,Clients!$A$2:$B$501,2,FALSE),"Unknown client"))</f>
        <v/>
      </c>
      <c r="Q467" s="12">
        <f>IF(C467="","",IF(COUNTIF(Inventory!$A$2:$A$501,C467)&lt;&gt;1,"Check lot ID",IF(OR(A467="",B467="",E467="",F467=""),"Complete required fields",IF(COUNTIF($B$2:$B$501,B467)&gt;1,"Duplicate sale ID",IF(AND(D467&lt;&gt;"",COUNTIF(Clients!$A$2:$A$501,D467)&lt;&gt;1),"Check client ID",IF(VLOOKUP(C467,Inventory!$A$2:$L$501,12,FALSE)&lt;0,"OVER SOLD","OK"))))))</f>
        <v/>
      </c>
    </row>
    <row r="468" ht="23" customHeight="1">
      <c r="A468" s="17" t="n"/>
      <c r="B468" s="9" t="n"/>
      <c r="C468" s="9" t="n"/>
      <c r="D468" s="9" t="n"/>
      <c r="E468" s="10" t="n"/>
      <c r="F468" s="11" t="n"/>
      <c r="G468" s="13">
        <f>IF(C468="","",ROUND(E468*F468,2))</f>
        <v/>
      </c>
      <c r="H468" s="13">
        <f>IF(C468="","",IFERROR(VLOOKUP(C468,Inventory!$A$2:$J$501,9,FALSE),0))</f>
        <v/>
      </c>
      <c r="I468" s="13">
        <f>IF(C468="","",ROUND(E468*H468,2))</f>
        <v/>
      </c>
      <c r="J468" s="11" t="n"/>
      <c r="K468" s="11" t="n"/>
      <c r="L468" s="13">
        <f>IF(C468="","",ROUND(G468-I468-J468-K468,2))</f>
        <v/>
      </c>
      <c r="M468" s="10" t="n"/>
      <c r="N468" s="10" t="n"/>
      <c r="O468" s="12">
        <f>IF(C468="","",IFERROR(VLOOKUP(C468,Inventory!$A$2:$B$501,2,FALSE),"Unknown lot"))</f>
        <v/>
      </c>
      <c r="P468" s="12">
        <f>IF(D468="","",IFERROR(VLOOKUP(D468,Clients!$A$2:$B$501,2,FALSE),"Unknown client"))</f>
        <v/>
      </c>
      <c r="Q468" s="12">
        <f>IF(C468="","",IF(COUNTIF(Inventory!$A$2:$A$501,C468)&lt;&gt;1,"Check lot ID",IF(OR(A468="",B468="",E468="",F468=""),"Complete required fields",IF(COUNTIF($B$2:$B$501,B468)&gt;1,"Duplicate sale ID",IF(AND(D468&lt;&gt;"",COUNTIF(Clients!$A$2:$A$501,D468)&lt;&gt;1),"Check client ID",IF(VLOOKUP(C468,Inventory!$A$2:$L$501,12,FALSE)&lt;0,"OVER SOLD","OK"))))))</f>
        <v/>
      </c>
    </row>
    <row r="469" ht="23" customHeight="1">
      <c r="A469" s="18" t="n"/>
      <c r="B469" s="14" t="n"/>
      <c r="C469" s="14" t="n"/>
      <c r="D469" s="14" t="n"/>
      <c r="E469" s="15" t="n"/>
      <c r="F469" s="16" t="n"/>
      <c r="G469" s="13">
        <f>IF(C469="","",ROUND(E469*F469,2))</f>
        <v/>
      </c>
      <c r="H469" s="13">
        <f>IF(C469="","",IFERROR(VLOOKUP(C469,Inventory!$A$2:$J$501,9,FALSE),0))</f>
        <v/>
      </c>
      <c r="I469" s="13">
        <f>IF(C469="","",ROUND(E469*H469,2))</f>
        <v/>
      </c>
      <c r="J469" s="16" t="n"/>
      <c r="K469" s="16" t="n"/>
      <c r="L469" s="13">
        <f>IF(C469="","",ROUND(G469-I469-J469-K469,2))</f>
        <v/>
      </c>
      <c r="M469" s="15" t="n"/>
      <c r="N469" s="15" t="n"/>
      <c r="O469" s="12">
        <f>IF(C469="","",IFERROR(VLOOKUP(C469,Inventory!$A$2:$B$501,2,FALSE),"Unknown lot"))</f>
        <v/>
      </c>
      <c r="P469" s="12">
        <f>IF(D469="","",IFERROR(VLOOKUP(D469,Clients!$A$2:$B$501,2,FALSE),"Unknown client"))</f>
        <v/>
      </c>
      <c r="Q469" s="12">
        <f>IF(C469="","",IF(COUNTIF(Inventory!$A$2:$A$501,C469)&lt;&gt;1,"Check lot ID",IF(OR(A469="",B469="",E469="",F469=""),"Complete required fields",IF(COUNTIF($B$2:$B$501,B469)&gt;1,"Duplicate sale ID",IF(AND(D469&lt;&gt;"",COUNTIF(Clients!$A$2:$A$501,D469)&lt;&gt;1),"Check client ID",IF(VLOOKUP(C469,Inventory!$A$2:$L$501,12,FALSE)&lt;0,"OVER SOLD","OK"))))))</f>
        <v/>
      </c>
    </row>
    <row r="470" ht="23" customHeight="1">
      <c r="A470" s="17" t="n"/>
      <c r="B470" s="9" t="n"/>
      <c r="C470" s="9" t="n"/>
      <c r="D470" s="9" t="n"/>
      <c r="E470" s="10" t="n"/>
      <c r="F470" s="11" t="n"/>
      <c r="G470" s="13">
        <f>IF(C470="","",ROUND(E470*F470,2))</f>
        <v/>
      </c>
      <c r="H470" s="13">
        <f>IF(C470="","",IFERROR(VLOOKUP(C470,Inventory!$A$2:$J$501,9,FALSE),0))</f>
        <v/>
      </c>
      <c r="I470" s="13">
        <f>IF(C470="","",ROUND(E470*H470,2))</f>
        <v/>
      </c>
      <c r="J470" s="11" t="n"/>
      <c r="K470" s="11" t="n"/>
      <c r="L470" s="13">
        <f>IF(C470="","",ROUND(G470-I470-J470-K470,2))</f>
        <v/>
      </c>
      <c r="M470" s="10" t="n"/>
      <c r="N470" s="10" t="n"/>
      <c r="O470" s="12">
        <f>IF(C470="","",IFERROR(VLOOKUP(C470,Inventory!$A$2:$B$501,2,FALSE),"Unknown lot"))</f>
        <v/>
      </c>
      <c r="P470" s="12">
        <f>IF(D470="","",IFERROR(VLOOKUP(D470,Clients!$A$2:$B$501,2,FALSE),"Unknown client"))</f>
        <v/>
      </c>
      <c r="Q470" s="12">
        <f>IF(C470="","",IF(COUNTIF(Inventory!$A$2:$A$501,C470)&lt;&gt;1,"Check lot ID",IF(OR(A470="",B470="",E470="",F470=""),"Complete required fields",IF(COUNTIF($B$2:$B$501,B470)&gt;1,"Duplicate sale ID",IF(AND(D470&lt;&gt;"",COUNTIF(Clients!$A$2:$A$501,D470)&lt;&gt;1),"Check client ID",IF(VLOOKUP(C470,Inventory!$A$2:$L$501,12,FALSE)&lt;0,"OVER SOLD","OK"))))))</f>
        <v/>
      </c>
    </row>
    <row r="471" ht="23" customHeight="1">
      <c r="A471" s="18" t="n"/>
      <c r="B471" s="14" t="n"/>
      <c r="C471" s="14" t="n"/>
      <c r="D471" s="14" t="n"/>
      <c r="E471" s="15" t="n"/>
      <c r="F471" s="16" t="n"/>
      <c r="G471" s="13">
        <f>IF(C471="","",ROUND(E471*F471,2))</f>
        <v/>
      </c>
      <c r="H471" s="13">
        <f>IF(C471="","",IFERROR(VLOOKUP(C471,Inventory!$A$2:$J$501,9,FALSE),0))</f>
        <v/>
      </c>
      <c r="I471" s="13">
        <f>IF(C471="","",ROUND(E471*H471,2))</f>
        <v/>
      </c>
      <c r="J471" s="16" t="n"/>
      <c r="K471" s="16" t="n"/>
      <c r="L471" s="13">
        <f>IF(C471="","",ROUND(G471-I471-J471-K471,2))</f>
        <v/>
      </c>
      <c r="M471" s="15" t="n"/>
      <c r="N471" s="15" t="n"/>
      <c r="O471" s="12">
        <f>IF(C471="","",IFERROR(VLOOKUP(C471,Inventory!$A$2:$B$501,2,FALSE),"Unknown lot"))</f>
        <v/>
      </c>
      <c r="P471" s="12">
        <f>IF(D471="","",IFERROR(VLOOKUP(D471,Clients!$A$2:$B$501,2,FALSE),"Unknown client"))</f>
        <v/>
      </c>
      <c r="Q471" s="12">
        <f>IF(C471="","",IF(COUNTIF(Inventory!$A$2:$A$501,C471)&lt;&gt;1,"Check lot ID",IF(OR(A471="",B471="",E471="",F471=""),"Complete required fields",IF(COUNTIF($B$2:$B$501,B471)&gt;1,"Duplicate sale ID",IF(AND(D471&lt;&gt;"",COUNTIF(Clients!$A$2:$A$501,D471)&lt;&gt;1),"Check client ID",IF(VLOOKUP(C471,Inventory!$A$2:$L$501,12,FALSE)&lt;0,"OVER SOLD","OK"))))))</f>
        <v/>
      </c>
    </row>
    <row r="472" ht="23" customHeight="1">
      <c r="A472" s="17" t="n"/>
      <c r="B472" s="9" t="n"/>
      <c r="C472" s="9" t="n"/>
      <c r="D472" s="9" t="n"/>
      <c r="E472" s="10" t="n"/>
      <c r="F472" s="11" t="n"/>
      <c r="G472" s="13">
        <f>IF(C472="","",ROUND(E472*F472,2))</f>
        <v/>
      </c>
      <c r="H472" s="13">
        <f>IF(C472="","",IFERROR(VLOOKUP(C472,Inventory!$A$2:$J$501,9,FALSE),0))</f>
        <v/>
      </c>
      <c r="I472" s="13">
        <f>IF(C472="","",ROUND(E472*H472,2))</f>
        <v/>
      </c>
      <c r="J472" s="11" t="n"/>
      <c r="K472" s="11" t="n"/>
      <c r="L472" s="13">
        <f>IF(C472="","",ROUND(G472-I472-J472-K472,2))</f>
        <v/>
      </c>
      <c r="M472" s="10" t="n"/>
      <c r="N472" s="10" t="n"/>
      <c r="O472" s="12">
        <f>IF(C472="","",IFERROR(VLOOKUP(C472,Inventory!$A$2:$B$501,2,FALSE),"Unknown lot"))</f>
        <v/>
      </c>
      <c r="P472" s="12">
        <f>IF(D472="","",IFERROR(VLOOKUP(D472,Clients!$A$2:$B$501,2,FALSE),"Unknown client"))</f>
        <v/>
      </c>
      <c r="Q472" s="12">
        <f>IF(C472="","",IF(COUNTIF(Inventory!$A$2:$A$501,C472)&lt;&gt;1,"Check lot ID",IF(OR(A472="",B472="",E472="",F472=""),"Complete required fields",IF(COUNTIF($B$2:$B$501,B472)&gt;1,"Duplicate sale ID",IF(AND(D472&lt;&gt;"",COUNTIF(Clients!$A$2:$A$501,D472)&lt;&gt;1),"Check client ID",IF(VLOOKUP(C472,Inventory!$A$2:$L$501,12,FALSE)&lt;0,"OVER SOLD","OK"))))))</f>
        <v/>
      </c>
    </row>
    <row r="473" ht="23" customHeight="1">
      <c r="A473" s="18" t="n"/>
      <c r="B473" s="14" t="n"/>
      <c r="C473" s="14" t="n"/>
      <c r="D473" s="14" t="n"/>
      <c r="E473" s="15" t="n"/>
      <c r="F473" s="16" t="n"/>
      <c r="G473" s="13">
        <f>IF(C473="","",ROUND(E473*F473,2))</f>
        <v/>
      </c>
      <c r="H473" s="13">
        <f>IF(C473="","",IFERROR(VLOOKUP(C473,Inventory!$A$2:$J$501,9,FALSE),0))</f>
        <v/>
      </c>
      <c r="I473" s="13">
        <f>IF(C473="","",ROUND(E473*H473,2))</f>
        <v/>
      </c>
      <c r="J473" s="16" t="n"/>
      <c r="K473" s="16" t="n"/>
      <c r="L473" s="13">
        <f>IF(C473="","",ROUND(G473-I473-J473-K473,2))</f>
        <v/>
      </c>
      <c r="M473" s="15" t="n"/>
      <c r="N473" s="15" t="n"/>
      <c r="O473" s="12">
        <f>IF(C473="","",IFERROR(VLOOKUP(C473,Inventory!$A$2:$B$501,2,FALSE),"Unknown lot"))</f>
        <v/>
      </c>
      <c r="P473" s="12">
        <f>IF(D473="","",IFERROR(VLOOKUP(D473,Clients!$A$2:$B$501,2,FALSE),"Unknown client"))</f>
        <v/>
      </c>
      <c r="Q473" s="12">
        <f>IF(C473="","",IF(COUNTIF(Inventory!$A$2:$A$501,C473)&lt;&gt;1,"Check lot ID",IF(OR(A473="",B473="",E473="",F473=""),"Complete required fields",IF(COUNTIF($B$2:$B$501,B473)&gt;1,"Duplicate sale ID",IF(AND(D473&lt;&gt;"",COUNTIF(Clients!$A$2:$A$501,D473)&lt;&gt;1),"Check client ID",IF(VLOOKUP(C473,Inventory!$A$2:$L$501,12,FALSE)&lt;0,"OVER SOLD","OK"))))))</f>
        <v/>
      </c>
    </row>
    <row r="474" ht="23" customHeight="1">
      <c r="A474" s="17" t="n"/>
      <c r="B474" s="9" t="n"/>
      <c r="C474" s="9" t="n"/>
      <c r="D474" s="9" t="n"/>
      <c r="E474" s="10" t="n"/>
      <c r="F474" s="11" t="n"/>
      <c r="G474" s="13">
        <f>IF(C474="","",ROUND(E474*F474,2))</f>
        <v/>
      </c>
      <c r="H474" s="13">
        <f>IF(C474="","",IFERROR(VLOOKUP(C474,Inventory!$A$2:$J$501,9,FALSE),0))</f>
        <v/>
      </c>
      <c r="I474" s="13">
        <f>IF(C474="","",ROUND(E474*H474,2))</f>
        <v/>
      </c>
      <c r="J474" s="11" t="n"/>
      <c r="K474" s="11" t="n"/>
      <c r="L474" s="13">
        <f>IF(C474="","",ROUND(G474-I474-J474-K474,2))</f>
        <v/>
      </c>
      <c r="M474" s="10" t="n"/>
      <c r="N474" s="10" t="n"/>
      <c r="O474" s="12">
        <f>IF(C474="","",IFERROR(VLOOKUP(C474,Inventory!$A$2:$B$501,2,FALSE),"Unknown lot"))</f>
        <v/>
      </c>
      <c r="P474" s="12">
        <f>IF(D474="","",IFERROR(VLOOKUP(D474,Clients!$A$2:$B$501,2,FALSE),"Unknown client"))</f>
        <v/>
      </c>
      <c r="Q474" s="12">
        <f>IF(C474="","",IF(COUNTIF(Inventory!$A$2:$A$501,C474)&lt;&gt;1,"Check lot ID",IF(OR(A474="",B474="",E474="",F474=""),"Complete required fields",IF(COUNTIF($B$2:$B$501,B474)&gt;1,"Duplicate sale ID",IF(AND(D474&lt;&gt;"",COUNTIF(Clients!$A$2:$A$501,D474)&lt;&gt;1),"Check client ID",IF(VLOOKUP(C474,Inventory!$A$2:$L$501,12,FALSE)&lt;0,"OVER SOLD","OK"))))))</f>
        <v/>
      </c>
    </row>
    <row r="475" ht="23" customHeight="1">
      <c r="A475" s="18" t="n"/>
      <c r="B475" s="14" t="n"/>
      <c r="C475" s="14" t="n"/>
      <c r="D475" s="14" t="n"/>
      <c r="E475" s="15" t="n"/>
      <c r="F475" s="16" t="n"/>
      <c r="G475" s="13">
        <f>IF(C475="","",ROUND(E475*F475,2))</f>
        <v/>
      </c>
      <c r="H475" s="13">
        <f>IF(C475="","",IFERROR(VLOOKUP(C475,Inventory!$A$2:$J$501,9,FALSE),0))</f>
        <v/>
      </c>
      <c r="I475" s="13">
        <f>IF(C475="","",ROUND(E475*H475,2))</f>
        <v/>
      </c>
      <c r="J475" s="16" t="n"/>
      <c r="K475" s="16" t="n"/>
      <c r="L475" s="13">
        <f>IF(C475="","",ROUND(G475-I475-J475-K475,2))</f>
        <v/>
      </c>
      <c r="M475" s="15" t="n"/>
      <c r="N475" s="15" t="n"/>
      <c r="O475" s="12">
        <f>IF(C475="","",IFERROR(VLOOKUP(C475,Inventory!$A$2:$B$501,2,FALSE),"Unknown lot"))</f>
        <v/>
      </c>
      <c r="P475" s="12">
        <f>IF(D475="","",IFERROR(VLOOKUP(D475,Clients!$A$2:$B$501,2,FALSE),"Unknown client"))</f>
        <v/>
      </c>
      <c r="Q475" s="12">
        <f>IF(C475="","",IF(COUNTIF(Inventory!$A$2:$A$501,C475)&lt;&gt;1,"Check lot ID",IF(OR(A475="",B475="",E475="",F475=""),"Complete required fields",IF(COUNTIF($B$2:$B$501,B475)&gt;1,"Duplicate sale ID",IF(AND(D475&lt;&gt;"",COUNTIF(Clients!$A$2:$A$501,D475)&lt;&gt;1),"Check client ID",IF(VLOOKUP(C475,Inventory!$A$2:$L$501,12,FALSE)&lt;0,"OVER SOLD","OK"))))))</f>
        <v/>
      </c>
    </row>
    <row r="476" ht="23" customHeight="1">
      <c r="A476" s="17" t="n"/>
      <c r="B476" s="9" t="n"/>
      <c r="C476" s="9" t="n"/>
      <c r="D476" s="9" t="n"/>
      <c r="E476" s="10" t="n"/>
      <c r="F476" s="11" t="n"/>
      <c r="G476" s="13">
        <f>IF(C476="","",ROUND(E476*F476,2))</f>
        <v/>
      </c>
      <c r="H476" s="13">
        <f>IF(C476="","",IFERROR(VLOOKUP(C476,Inventory!$A$2:$J$501,9,FALSE),0))</f>
        <v/>
      </c>
      <c r="I476" s="13">
        <f>IF(C476="","",ROUND(E476*H476,2))</f>
        <v/>
      </c>
      <c r="J476" s="11" t="n"/>
      <c r="K476" s="11" t="n"/>
      <c r="L476" s="13">
        <f>IF(C476="","",ROUND(G476-I476-J476-K476,2))</f>
        <v/>
      </c>
      <c r="M476" s="10" t="n"/>
      <c r="N476" s="10" t="n"/>
      <c r="O476" s="12">
        <f>IF(C476="","",IFERROR(VLOOKUP(C476,Inventory!$A$2:$B$501,2,FALSE),"Unknown lot"))</f>
        <v/>
      </c>
      <c r="P476" s="12">
        <f>IF(D476="","",IFERROR(VLOOKUP(D476,Clients!$A$2:$B$501,2,FALSE),"Unknown client"))</f>
        <v/>
      </c>
      <c r="Q476" s="12">
        <f>IF(C476="","",IF(COUNTIF(Inventory!$A$2:$A$501,C476)&lt;&gt;1,"Check lot ID",IF(OR(A476="",B476="",E476="",F476=""),"Complete required fields",IF(COUNTIF($B$2:$B$501,B476)&gt;1,"Duplicate sale ID",IF(AND(D476&lt;&gt;"",COUNTIF(Clients!$A$2:$A$501,D476)&lt;&gt;1),"Check client ID",IF(VLOOKUP(C476,Inventory!$A$2:$L$501,12,FALSE)&lt;0,"OVER SOLD","OK"))))))</f>
        <v/>
      </c>
    </row>
    <row r="477" ht="23" customHeight="1">
      <c r="A477" s="18" t="n"/>
      <c r="B477" s="14" t="n"/>
      <c r="C477" s="14" t="n"/>
      <c r="D477" s="14" t="n"/>
      <c r="E477" s="15" t="n"/>
      <c r="F477" s="16" t="n"/>
      <c r="G477" s="13">
        <f>IF(C477="","",ROUND(E477*F477,2))</f>
        <v/>
      </c>
      <c r="H477" s="13">
        <f>IF(C477="","",IFERROR(VLOOKUP(C477,Inventory!$A$2:$J$501,9,FALSE),0))</f>
        <v/>
      </c>
      <c r="I477" s="13">
        <f>IF(C477="","",ROUND(E477*H477,2))</f>
        <v/>
      </c>
      <c r="J477" s="16" t="n"/>
      <c r="K477" s="16" t="n"/>
      <c r="L477" s="13">
        <f>IF(C477="","",ROUND(G477-I477-J477-K477,2))</f>
        <v/>
      </c>
      <c r="M477" s="15" t="n"/>
      <c r="N477" s="15" t="n"/>
      <c r="O477" s="12">
        <f>IF(C477="","",IFERROR(VLOOKUP(C477,Inventory!$A$2:$B$501,2,FALSE),"Unknown lot"))</f>
        <v/>
      </c>
      <c r="P477" s="12">
        <f>IF(D477="","",IFERROR(VLOOKUP(D477,Clients!$A$2:$B$501,2,FALSE),"Unknown client"))</f>
        <v/>
      </c>
      <c r="Q477" s="12">
        <f>IF(C477="","",IF(COUNTIF(Inventory!$A$2:$A$501,C477)&lt;&gt;1,"Check lot ID",IF(OR(A477="",B477="",E477="",F477=""),"Complete required fields",IF(COUNTIF($B$2:$B$501,B477)&gt;1,"Duplicate sale ID",IF(AND(D477&lt;&gt;"",COUNTIF(Clients!$A$2:$A$501,D477)&lt;&gt;1),"Check client ID",IF(VLOOKUP(C477,Inventory!$A$2:$L$501,12,FALSE)&lt;0,"OVER SOLD","OK"))))))</f>
        <v/>
      </c>
    </row>
    <row r="478" ht="23" customHeight="1">
      <c r="A478" s="17" t="n"/>
      <c r="B478" s="9" t="n"/>
      <c r="C478" s="9" t="n"/>
      <c r="D478" s="9" t="n"/>
      <c r="E478" s="10" t="n"/>
      <c r="F478" s="11" t="n"/>
      <c r="G478" s="13">
        <f>IF(C478="","",ROUND(E478*F478,2))</f>
        <v/>
      </c>
      <c r="H478" s="13">
        <f>IF(C478="","",IFERROR(VLOOKUP(C478,Inventory!$A$2:$J$501,9,FALSE),0))</f>
        <v/>
      </c>
      <c r="I478" s="13">
        <f>IF(C478="","",ROUND(E478*H478,2))</f>
        <v/>
      </c>
      <c r="J478" s="11" t="n"/>
      <c r="K478" s="11" t="n"/>
      <c r="L478" s="13">
        <f>IF(C478="","",ROUND(G478-I478-J478-K478,2))</f>
        <v/>
      </c>
      <c r="M478" s="10" t="n"/>
      <c r="N478" s="10" t="n"/>
      <c r="O478" s="12">
        <f>IF(C478="","",IFERROR(VLOOKUP(C478,Inventory!$A$2:$B$501,2,FALSE),"Unknown lot"))</f>
        <v/>
      </c>
      <c r="P478" s="12">
        <f>IF(D478="","",IFERROR(VLOOKUP(D478,Clients!$A$2:$B$501,2,FALSE),"Unknown client"))</f>
        <v/>
      </c>
      <c r="Q478" s="12">
        <f>IF(C478="","",IF(COUNTIF(Inventory!$A$2:$A$501,C478)&lt;&gt;1,"Check lot ID",IF(OR(A478="",B478="",E478="",F478=""),"Complete required fields",IF(COUNTIF($B$2:$B$501,B478)&gt;1,"Duplicate sale ID",IF(AND(D478&lt;&gt;"",COUNTIF(Clients!$A$2:$A$501,D478)&lt;&gt;1),"Check client ID",IF(VLOOKUP(C478,Inventory!$A$2:$L$501,12,FALSE)&lt;0,"OVER SOLD","OK"))))))</f>
        <v/>
      </c>
    </row>
    <row r="479" ht="23" customHeight="1">
      <c r="A479" s="18" t="n"/>
      <c r="B479" s="14" t="n"/>
      <c r="C479" s="14" t="n"/>
      <c r="D479" s="14" t="n"/>
      <c r="E479" s="15" t="n"/>
      <c r="F479" s="16" t="n"/>
      <c r="G479" s="13">
        <f>IF(C479="","",ROUND(E479*F479,2))</f>
        <v/>
      </c>
      <c r="H479" s="13">
        <f>IF(C479="","",IFERROR(VLOOKUP(C479,Inventory!$A$2:$J$501,9,FALSE),0))</f>
        <v/>
      </c>
      <c r="I479" s="13">
        <f>IF(C479="","",ROUND(E479*H479,2))</f>
        <v/>
      </c>
      <c r="J479" s="16" t="n"/>
      <c r="K479" s="16" t="n"/>
      <c r="L479" s="13">
        <f>IF(C479="","",ROUND(G479-I479-J479-K479,2))</f>
        <v/>
      </c>
      <c r="M479" s="15" t="n"/>
      <c r="N479" s="15" t="n"/>
      <c r="O479" s="12">
        <f>IF(C479="","",IFERROR(VLOOKUP(C479,Inventory!$A$2:$B$501,2,FALSE),"Unknown lot"))</f>
        <v/>
      </c>
      <c r="P479" s="12">
        <f>IF(D479="","",IFERROR(VLOOKUP(D479,Clients!$A$2:$B$501,2,FALSE),"Unknown client"))</f>
        <v/>
      </c>
      <c r="Q479" s="12">
        <f>IF(C479="","",IF(COUNTIF(Inventory!$A$2:$A$501,C479)&lt;&gt;1,"Check lot ID",IF(OR(A479="",B479="",E479="",F479=""),"Complete required fields",IF(COUNTIF($B$2:$B$501,B479)&gt;1,"Duplicate sale ID",IF(AND(D479&lt;&gt;"",COUNTIF(Clients!$A$2:$A$501,D479)&lt;&gt;1),"Check client ID",IF(VLOOKUP(C479,Inventory!$A$2:$L$501,12,FALSE)&lt;0,"OVER SOLD","OK"))))))</f>
        <v/>
      </c>
    </row>
    <row r="480" ht="23" customHeight="1">
      <c r="A480" s="17" t="n"/>
      <c r="B480" s="9" t="n"/>
      <c r="C480" s="9" t="n"/>
      <c r="D480" s="9" t="n"/>
      <c r="E480" s="10" t="n"/>
      <c r="F480" s="11" t="n"/>
      <c r="G480" s="13">
        <f>IF(C480="","",ROUND(E480*F480,2))</f>
        <v/>
      </c>
      <c r="H480" s="13">
        <f>IF(C480="","",IFERROR(VLOOKUP(C480,Inventory!$A$2:$J$501,9,FALSE),0))</f>
        <v/>
      </c>
      <c r="I480" s="13">
        <f>IF(C480="","",ROUND(E480*H480,2))</f>
        <v/>
      </c>
      <c r="J480" s="11" t="n"/>
      <c r="K480" s="11" t="n"/>
      <c r="L480" s="13">
        <f>IF(C480="","",ROUND(G480-I480-J480-K480,2))</f>
        <v/>
      </c>
      <c r="M480" s="10" t="n"/>
      <c r="N480" s="10" t="n"/>
      <c r="O480" s="12">
        <f>IF(C480="","",IFERROR(VLOOKUP(C480,Inventory!$A$2:$B$501,2,FALSE),"Unknown lot"))</f>
        <v/>
      </c>
      <c r="P480" s="12">
        <f>IF(D480="","",IFERROR(VLOOKUP(D480,Clients!$A$2:$B$501,2,FALSE),"Unknown client"))</f>
        <v/>
      </c>
      <c r="Q480" s="12">
        <f>IF(C480="","",IF(COUNTIF(Inventory!$A$2:$A$501,C480)&lt;&gt;1,"Check lot ID",IF(OR(A480="",B480="",E480="",F480=""),"Complete required fields",IF(COUNTIF($B$2:$B$501,B480)&gt;1,"Duplicate sale ID",IF(AND(D480&lt;&gt;"",COUNTIF(Clients!$A$2:$A$501,D480)&lt;&gt;1),"Check client ID",IF(VLOOKUP(C480,Inventory!$A$2:$L$501,12,FALSE)&lt;0,"OVER SOLD","OK"))))))</f>
        <v/>
      </c>
    </row>
    <row r="481" ht="23" customHeight="1">
      <c r="A481" s="18" t="n"/>
      <c r="B481" s="14" t="n"/>
      <c r="C481" s="14" t="n"/>
      <c r="D481" s="14" t="n"/>
      <c r="E481" s="15" t="n"/>
      <c r="F481" s="16" t="n"/>
      <c r="G481" s="13">
        <f>IF(C481="","",ROUND(E481*F481,2))</f>
        <v/>
      </c>
      <c r="H481" s="13">
        <f>IF(C481="","",IFERROR(VLOOKUP(C481,Inventory!$A$2:$J$501,9,FALSE),0))</f>
        <v/>
      </c>
      <c r="I481" s="13">
        <f>IF(C481="","",ROUND(E481*H481,2))</f>
        <v/>
      </c>
      <c r="J481" s="16" t="n"/>
      <c r="K481" s="16" t="n"/>
      <c r="L481" s="13">
        <f>IF(C481="","",ROUND(G481-I481-J481-K481,2))</f>
        <v/>
      </c>
      <c r="M481" s="15" t="n"/>
      <c r="N481" s="15" t="n"/>
      <c r="O481" s="12">
        <f>IF(C481="","",IFERROR(VLOOKUP(C481,Inventory!$A$2:$B$501,2,FALSE),"Unknown lot"))</f>
        <v/>
      </c>
      <c r="P481" s="12">
        <f>IF(D481="","",IFERROR(VLOOKUP(D481,Clients!$A$2:$B$501,2,FALSE),"Unknown client"))</f>
        <v/>
      </c>
      <c r="Q481" s="12">
        <f>IF(C481="","",IF(COUNTIF(Inventory!$A$2:$A$501,C481)&lt;&gt;1,"Check lot ID",IF(OR(A481="",B481="",E481="",F481=""),"Complete required fields",IF(COUNTIF($B$2:$B$501,B481)&gt;1,"Duplicate sale ID",IF(AND(D481&lt;&gt;"",COUNTIF(Clients!$A$2:$A$501,D481)&lt;&gt;1),"Check client ID",IF(VLOOKUP(C481,Inventory!$A$2:$L$501,12,FALSE)&lt;0,"OVER SOLD","OK"))))))</f>
        <v/>
      </c>
    </row>
    <row r="482" ht="23" customHeight="1">
      <c r="A482" s="17" t="n"/>
      <c r="B482" s="9" t="n"/>
      <c r="C482" s="9" t="n"/>
      <c r="D482" s="9" t="n"/>
      <c r="E482" s="10" t="n"/>
      <c r="F482" s="11" t="n"/>
      <c r="G482" s="13">
        <f>IF(C482="","",ROUND(E482*F482,2))</f>
        <v/>
      </c>
      <c r="H482" s="13">
        <f>IF(C482="","",IFERROR(VLOOKUP(C482,Inventory!$A$2:$J$501,9,FALSE),0))</f>
        <v/>
      </c>
      <c r="I482" s="13">
        <f>IF(C482="","",ROUND(E482*H482,2))</f>
        <v/>
      </c>
      <c r="J482" s="11" t="n"/>
      <c r="K482" s="11" t="n"/>
      <c r="L482" s="13">
        <f>IF(C482="","",ROUND(G482-I482-J482-K482,2))</f>
        <v/>
      </c>
      <c r="M482" s="10" t="n"/>
      <c r="N482" s="10" t="n"/>
      <c r="O482" s="12">
        <f>IF(C482="","",IFERROR(VLOOKUP(C482,Inventory!$A$2:$B$501,2,FALSE),"Unknown lot"))</f>
        <v/>
      </c>
      <c r="P482" s="12">
        <f>IF(D482="","",IFERROR(VLOOKUP(D482,Clients!$A$2:$B$501,2,FALSE),"Unknown client"))</f>
        <v/>
      </c>
      <c r="Q482" s="12">
        <f>IF(C482="","",IF(COUNTIF(Inventory!$A$2:$A$501,C482)&lt;&gt;1,"Check lot ID",IF(OR(A482="",B482="",E482="",F482=""),"Complete required fields",IF(COUNTIF($B$2:$B$501,B482)&gt;1,"Duplicate sale ID",IF(AND(D482&lt;&gt;"",COUNTIF(Clients!$A$2:$A$501,D482)&lt;&gt;1),"Check client ID",IF(VLOOKUP(C482,Inventory!$A$2:$L$501,12,FALSE)&lt;0,"OVER SOLD","OK"))))))</f>
        <v/>
      </c>
    </row>
    <row r="483" ht="23" customHeight="1">
      <c r="A483" s="18" t="n"/>
      <c r="B483" s="14" t="n"/>
      <c r="C483" s="14" t="n"/>
      <c r="D483" s="14" t="n"/>
      <c r="E483" s="15" t="n"/>
      <c r="F483" s="16" t="n"/>
      <c r="G483" s="13">
        <f>IF(C483="","",ROUND(E483*F483,2))</f>
        <v/>
      </c>
      <c r="H483" s="13">
        <f>IF(C483="","",IFERROR(VLOOKUP(C483,Inventory!$A$2:$J$501,9,FALSE),0))</f>
        <v/>
      </c>
      <c r="I483" s="13">
        <f>IF(C483="","",ROUND(E483*H483,2))</f>
        <v/>
      </c>
      <c r="J483" s="16" t="n"/>
      <c r="K483" s="16" t="n"/>
      <c r="L483" s="13">
        <f>IF(C483="","",ROUND(G483-I483-J483-K483,2))</f>
        <v/>
      </c>
      <c r="M483" s="15" t="n"/>
      <c r="N483" s="15" t="n"/>
      <c r="O483" s="12">
        <f>IF(C483="","",IFERROR(VLOOKUP(C483,Inventory!$A$2:$B$501,2,FALSE),"Unknown lot"))</f>
        <v/>
      </c>
      <c r="P483" s="12">
        <f>IF(D483="","",IFERROR(VLOOKUP(D483,Clients!$A$2:$B$501,2,FALSE),"Unknown client"))</f>
        <v/>
      </c>
      <c r="Q483" s="12">
        <f>IF(C483="","",IF(COUNTIF(Inventory!$A$2:$A$501,C483)&lt;&gt;1,"Check lot ID",IF(OR(A483="",B483="",E483="",F483=""),"Complete required fields",IF(COUNTIF($B$2:$B$501,B483)&gt;1,"Duplicate sale ID",IF(AND(D483&lt;&gt;"",COUNTIF(Clients!$A$2:$A$501,D483)&lt;&gt;1),"Check client ID",IF(VLOOKUP(C483,Inventory!$A$2:$L$501,12,FALSE)&lt;0,"OVER SOLD","OK"))))))</f>
        <v/>
      </c>
    </row>
    <row r="484" ht="23" customHeight="1">
      <c r="A484" s="17" t="n"/>
      <c r="B484" s="9" t="n"/>
      <c r="C484" s="9" t="n"/>
      <c r="D484" s="9" t="n"/>
      <c r="E484" s="10" t="n"/>
      <c r="F484" s="11" t="n"/>
      <c r="G484" s="13">
        <f>IF(C484="","",ROUND(E484*F484,2))</f>
        <v/>
      </c>
      <c r="H484" s="13">
        <f>IF(C484="","",IFERROR(VLOOKUP(C484,Inventory!$A$2:$J$501,9,FALSE),0))</f>
        <v/>
      </c>
      <c r="I484" s="13">
        <f>IF(C484="","",ROUND(E484*H484,2))</f>
        <v/>
      </c>
      <c r="J484" s="11" t="n"/>
      <c r="K484" s="11" t="n"/>
      <c r="L484" s="13">
        <f>IF(C484="","",ROUND(G484-I484-J484-K484,2))</f>
        <v/>
      </c>
      <c r="M484" s="10" t="n"/>
      <c r="N484" s="10" t="n"/>
      <c r="O484" s="12">
        <f>IF(C484="","",IFERROR(VLOOKUP(C484,Inventory!$A$2:$B$501,2,FALSE),"Unknown lot"))</f>
        <v/>
      </c>
      <c r="P484" s="12">
        <f>IF(D484="","",IFERROR(VLOOKUP(D484,Clients!$A$2:$B$501,2,FALSE),"Unknown client"))</f>
        <v/>
      </c>
      <c r="Q484" s="12">
        <f>IF(C484="","",IF(COUNTIF(Inventory!$A$2:$A$501,C484)&lt;&gt;1,"Check lot ID",IF(OR(A484="",B484="",E484="",F484=""),"Complete required fields",IF(COUNTIF($B$2:$B$501,B484)&gt;1,"Duplicate sale ID",IF(AND(D484&lt;&gt;"",COUNTIF(Clients!$A$2:$A$501,D484)&lt;&gt;1),"Check client ID",IF(VLOOKUP(C484,Inventory!$A$2:$L$501,12,FALSE)&lt;0,"OVER SOLD","OK"))))))</f>
        <v/>
      </c>
    </row>
    <row r="485" ht="23" customHeight="1">
      <c r="A485" s="18" t="n"/>
      <c r="B485" s="14" t="n"/>
      <c r="C485" s="14" t="n"/>
      <c r="D485" s="14" t="n"/>
      <c r="E485" s="15" t="n"/>
      <c r="F485" s="16" t="n"/>
      <c r="G485" s="13">
        <f>IF(C485="","",ROUND(E485*F485,2))</f>
        <v/>
      </c>
      <c r="H485" s="13">
        <f>IF(C485="","",IFERROR(VLOOKUP(C485,Inventory!$A$2:$J$501,9,FALSE),0))</f>
        <v/>
      </c>
      <c r="I485" s="13">
        <f>IF(C485="","",ROUND(E485*H485,2))</f>
        <v/>
      </c>
      <c r="J485" s="16" t="n"/>
      <c r="K485" s="16" t="n"/>
      <c r="L485" s="13">
        <f>IF(C485="","",ROUND(G485-I485-J485-K485,2))</f>
        <v/>
      </c>
      <c r="M485" s="15" t="n"/>
      <c r="N485" s="15" t="n"/>
      <c r="O485" s="12">
        <f>IF(C485="","",IFERROR(VLOOKUP(C485,Inventory!$A$2:$B$501,2,FALSE),"Unknown lot"))</f>
        <v/>
      </c>
      <c r="P485" s="12">
        <f>IF(D485="","",IFERROR(VLOOKUP(D485,Clients!$A$2:$B$501,2,FALSE),"Unknown client"))</f>
        <v/>
      </c>
      <c r="Q485" s="12">
        <f>IF(C485="","",IF(COUNTIF(Inventory!$A$2:$A$501,C485)&lt;&gt;1,"Check lot ID",IF(OR(A485="",B485="",E485="",F485=""),"Complete required fields",IF(COUNTIF($B$2:$B$501,B485)&gt;1,"Duplicate sale ID",IF(AND(D485&lt;&gt;"",COUNTIF(Clients!$A$2:$A$501,D485)&lt;&gt;1),"Check client ID",IF(VLOOKUP(C485,Inventory!$A$2:$L$501,12,FALSE)&lt;0,"OVER SOLD","OK"))))))</f>
        <v/>
      </c>
    </row>
    <row r="486" ht="23" customHeight="1">
      <c r="A486" s="17" t="n"/>
      <c r="B486" s="9" t="n"/>
      <c r="C486" s="9" t="n"/>
      <c r="D486" s="9" t="n"/>
      <c r="E486" s="10" t="n"/>
      <c r="F486" s="11" t="n"/>
      <c r="G486" s="13">
        <f>IF(C486="","",ROUND(E486*F486,2))</f>
        <v/>
      </c>
      <c r="H486" s="13">
        <f>IF(C486="","",IFERROR(VLOOKUP(C486,Inventory!$A$2:$J$501,9,FALSE),0))</f>
        <v/>
      </c>
      <c r="I486" s="13">
        <f>IF(C486="","",ROUND(E486*H486,2))</f>
        <v/>
      </c>
      <c r="J486" s="11" t="n"/>
      <c r="K486" s="11" t="n"/>
      <c r="L486" s="13">
        <f>IF(C486="","",ROUND(G486-I486-J486-K486,2))</f>
        <v/>
      </c>
      <c r="M486" s="10" t="n"/>
      <c r="N486" s="10" t="n"/>
      <c r="O486" s="12">
        <f>IF(C486="","",IFERROR(VLOOKUP(C486,Inventory!$A$2:$B$501,2,FALSE),"Unknown lot"))</f>
        <v/>
      </c>
      <c r="P486" s="12">
        <f>IF(D486="","",IFERROR(VLOOKUP(D486,Clients!$A$2:$B$501,2,FALSE),"Unknown client"))</f>
        <v/>
      </c>
      <c r="Q486" s="12">
        <f>IF(C486="","",IF(COUNTIF(Inventory!$A$2:$A$501,C486)&lt;&gt;1,"Check lot ID",IF(OR(A486="",B486="",E486="",F486=""),"Complete required fields",IF(COUNTIF($B$2:$B$501,B486)&gt;1,"Duplicate sale ID",IF(AND(D486&lt;&gt;"",COUNTIF(Clients!$A$2:$A$501,D486)&lt;&gt;1),"Check client ID",IF(VLOOKUP(C486,Inventory!$A$2:$L$501,12,FALSE)&lt;0,"OVER SOLD","OK"))))))</f>
        <v/>
      </c>
    </row>
    <row r="487" ht="23" customHeight="1">
      <c r="A487" s="18" t="n"/>
      <c r="B487" s="14" t="n"/>
      <c r="C487" s="14" t="n"/>
      <c r="D487" s="14" t="n"/>
      <c r="E487" s="15" t="n"/>
      <c r="F487" s="16" t="n"/>
      <c r="G487" s="13">
        <f>IF(C487="","",ROUND(E487*F487,2))</f>
        <v/>
      </c>
      <c r="H487" s="13">
        <f>IF(C487="","",IFERROR(VLOOKUP(C487,Inventory!$A$2:$J$501,9,FALSE),0))</f>
        <v/>
      </c>
      <c r="I487" s="13">
        <f>IF(C487="","",ROUND(E487*H487,2))</f>
        <v/>
      </c>
      <c r="J487" s="16" t="n"/>
      <c r="K487" s="16" t="n"/>
      <c r="L487" s="13">
        <f>IF(C487="","",ROUND(G487-I487-J487-K487,2))</f>
        <v/>
      </c>
      <c r="M487" s="15" t="n"/>
      <c r="N487" s="15" t="n"/>
      <c r="O487" s="12">
        <f>IF(C487="","",IFERROR(VLOOKUP(C487,Inventory!$A$2:$B$501,2,FALSE),"Unknown lot"))</f>
        <v/>
      </c>
      <c r="P487" s="12">
        <f>IF(D487="","",IFERROR(VLOOKUP(D487,Clients!$A$2:$B$501,2,FALSE),"Unknown client"))</f>
        <v/>
      </c>
      <c r="Q487" s="12">
        <f>IF(C487="","",IF(COUNTIF(Inventory!$A$2:$A$501,C487)&lt;&gt;1,"Check lot ID",IF(OR(A487="",B487="",E487="",F487=""),"Complete required fields",IF(COUNTIF($B$2:$B$501,B487)&gt;1,"Duplicate sale ID",IF(AND(D487&lt;&gt;"",COUNTIF(Clients!$A$2:$A$501,D487)&lt;&gt;1),"Check client ID",IF(VLOOKUP(C487,Inventory!$A$2:$L$501,12,FALSE)&lt;0,"OVER SOLD","OK"))))))</f>
        <v/>
      </c>
    </row>
    <row r="488" ht="23" customHeight="1">
      <c r="A488" s="17" t="n"/>
      <c r="B488" s="9" t="n"/>
      <c r="C488" s="9" t="n"/>
      <c r="D488" s="9" t="n"/>
      <c r="E488" s="10" t="n"/>
      <c r="F488" s="11" t="n"/>
      <c r="G488" s="13">
        <f>IF(C488="","",ROUND(E488*F488,2))</f>
        <v/>
      </c>
      <c r="H488" s="13">
        <f>IF(C488="","",IFERROR(VLOOKUP(C488,Inventory!$A$2:$J$501,9,FALSE),0))</f>
        <v/>
      </c>
      <c r="I488" s="13">
        <f>IF(C488="","",ROUND(E488*H488,2))</f>
        <v/>
      </c>
      <c r="J488" s="11" t="n"/>
      <c r="K488" s="11" t="n"/>
      <c r="L488" s="13">
        <f>IF(C488="","",ROUND(G488-I488-J488-K488,2))</f>
        <v/>
      </c>
      <c r="M488" s="10" t="n"/>
      <c r="N488" s="10" t="n"/>
      <c r="O488" s="12">
        <f>IF(C488="","",IFERROR(VLOOKUP(C488,Inventory!$A$2:$B$501,2,FALSE),"Unknown lot"))</f>
        <v/>
      </c>
      <c r="P488" s="12">
        <f>IF(D488="","",IFERROR(VLOOKUP(D488,Clients!$A$2:$B$501,2,FALSE),"Unknown client"))</f>
        <v/>
      </c>
      <c r="Q488" s="12">
        <f>IF(C488="","",IF(COUNTIF(Inventory!$A$2:$A$501,C488)&lt;&gt;1,"Check lot ID",IF(OR(A488="",B488="",E488="",F488=""),"Complete required fields",IF(COUNTIF($B$2:$B$501,B488)&gt;1,"Duplicate sale ID",IF(AND(D488&lt;&gt;"",COUNTIF(Clients!$A$2:$A$501,D488)&lt;&gt;1),"Check client ID",IF(VLOOKUP(C488,Inventory!$A$2:$L$501,12,FALSE)&lt;0,"OVER SOLD","OK"))))))</f>
        <v/>
      </c>
    </row>
    <row r="489" ht="23" customHeight="1">
      <c r="A489" s="18" t="n"/>
      <c r="B489" s="14" t="n"/>
      <c r="C489" s="14" t="n"/>
      <c r="D489" s="14" t="n"/>
      <c r="E489" s="15" t="n"/>
      <c r="F489" s="16" t="n"/>
      <c r="G489" s="13">
        <f>IF(C489="","",ROUND(E489*F489,2))</f>
        <v/>
      </c>
      <c r="H489" s="13">
        <f>IF(C489="","",IFERROR(VLOOKUP(C489,Inventory!$A$2:$J$501,9,FALSE),0))</f>
        <v/>
      </c>
      <c r="I489" s="13">
        <f>IF(C489="","",ROUND(E489*H489,2))</f>
        <v/>
      </c>
      <c r="J489" s="16" t="n"/>
      <c r="K489" s="16" t="n"/>
      <c r="L489" s="13">
        <f>IF(C489="","",ROUND(G489-I489-J489-K489,2))</f>
        <v/>
      </c>
      <c r="M489" s="15" t="n"/>
      <c r="N489" s="15" t="n"/>
      <c r="O489" s="12">
        <f>IF(C489="","",IFERROR(VLOOKUP(C489,Inventory!$A$2:$B$501,2,FALSE),"Unknown lot"))</f>
        <v/>
      </c>
      <c r="P489" s="12">
        <f>IF(D489="","",IFERROR(VLOOKUP(D489,Clients!$A$2:$B$501,2,FALSE),"Unknown client"))</f>
        <v/>
      </c>
      <c r="Q489" s="12">
        <f>IF(C489="","",IF(COUNTIF(Inventory!$A$2:$A$501,C489)&lt;&gt;1,"Check lot ID",IF(OR(A489="",B489="",E489="",F489=""),"Complete required fields",IF(COUNTIF($B$2:$B$501,B489)&gt;1,"Duplicate sale ID",IF(AND(D489&lt;&gt;"",COUNTIF(Clients!$A$2:$A$501,D489)&lt;&gt;1),"Check client ID",IF(VLOOKUP(C489,Inventory!$A$2:$L$501,12,FALSE)&lt;0,"OVER SOLD","OK"))))))</f>
        <v/>
      </c>
    </row>
    <row r="490" ht="23" customHeight="1">
      <c r="A490" s="17" t="n"/>
      <c r="B490" s="9" t="n"/>
      <c r="C490" s="9" t="n"/>
      <c r="D490" s="9" t="n"/>
      <c r="E490" s="10" t="n"/>
      <c r="F490" s="11" t="n"/>
      <c r="G490" s="13">
        <f>IF(C490="","",ROUND(E490*F490,2))</f>
        <v/>
      </c>
      <c r="H490" s="13">
        <f>IF(C490="","",IFERROR(VLOOKUP(C490,Inventory!$A$2:$J$501,9,FALSE),0))</f>
        <v/>
      </c>
      <c r="I490" s="13">
        <f>IF(C490="","",ROUND(E490*H490,2))</f>
        <v/>
      </c>
      <c r="J490" s="11" t="n"/>
      <c r="K490" s="11" t="n"/>
      <c r="L490" s="13">
        <f>IF(C490="","",ROUND(G490-I490-J490-K490,2))</f>
        <v/>
      </c>
      <c r="M490" s="10" t="n"/>
      <c r="N490" s="10" t="n"/>
      <c r="O490" s="12">
        <f>IF(C490="","",IFERROR(VLOOKUP(C490,Inventory!$A$2:$B$501,2,FALSE),"Unknown lot"))</f>
        <v/>
      </c>
      <c r="P490" s="12">
        <f>IF(D490="","",IFERROR(VLOOKUP(D490,Clients!$A$2:$B$501,2,FALSE),"Unknown client"))</f>
        <v/>
      </c>
      <c r="Q490" s="12">
        <f>IF(C490="","",IF(COUNTIF(Inventory!$A$2:$A$501,C490)&lt;&gt;1,"Check lot ID",IF(OR(A490="",B490="",E490="",F490=""),"Complete required fields",IF(COUNTIF($B$2:$B$501,B490)&gt;1,"Duplicate sale ID",IF(AND(D490&lt;&gt;"",COUNTIF(Clients!$A$2:$A$501,D490)&lt;&gt;1),"Check client ID",IF(VLOOKUP(C490,Inventory!$A$2:$L$501,12,FALSE)&lt;0,"OVER SOLD","OK"))))))</f>
        <v/>
      </c>
    </row>
    <row r="491" ht="23" customHeight="1">
      <c r="A491" s="18" t="n"/>
      <c r="B491" s="14" t="n"/>
      <c r="C491" s="14" t="n"/>
      <c r="D491" s="14" t="n"/>
      <c r="E491" s="15" t="n"/>
      <c r="F491" s="16" t="n"/>
      <c r="G491" s="13">
        <f>IF(C491="","",ROUND(E491*F491,2))</f>
        <v/>
      </c>
      <c r="H491" s="13">
        <f>IF(C491="","",IFERROR(VLOOKUP(C491,Inventory!$A$2:$J$501,9,FALSE),0))</f>
        <v/>
      </c>
      <c r="I491" s="13">
        <f>IF(C491="","",ROUND(E491*H491,2))</f>
        <v/>
      </c>
      <c r="J491" s="16" t="n"/>
      <c r="K491" s="16" t="n"/>
      <c r="L491" s="13">
        <f>IF(C491="","",ROUND(G491-I491-J491-K491,2))</f>
        <v/>
      </c>
      <c r="M491" s="15" t="n"/>
      <c r="N491" s="15" t="n"/>
      <c r="O491" s="12">
        <f>IF(C491="","",IFERROR(VLOOKUP(C491,Inventory!$A$2:$B$501,2,FALSE),"Unknown lot"))</f>
        <v/>
      </c>
      <c r="P491" s="12">
        <f>IF(D491="","",IFERROR(VLOOKUP(D491,Clients!$A$2:$B$501,2,FALSE),"Unknown client"))</f>
        <v/>
      </c>
      <c r="Q491" s="12">
        <f>IF(C491="","",IF(COUNTIF(Inventory!$A$2:$A$501,C491)&lt;&gt;1,"Check lot ID",IF(OR(A491="",B491="",E491="",F491=""),"Complete required fields",IF(COUNTIF($B$2:$B$501,B491)&gt;1,"Duplicate sale ID",IF(AND(D491&lt;&gt;"",COUNTIF(Clients!$A$2:$A$501,D491)&lt;&gt;1),"Check client ID",IF(VLOOKUP(C491,Inventory!$A$2:$L$501,12,FALSE)&lt;0,"OVER SOLD","OK"))))))</f>
        <v/>
      </c>
    </row>
    <row r="492" ht="23" customHeight="1">
      <c r="A492" s="17" t="n"/>
      <c r="B492" s="9" t="n"/>
      <c r="C492" s="9" t="n"/>
      <c r="D492" s="9" t="n"/>
      <c r="E492" s="10" t="n"/>
      <c r="F492" s="11" t="n"/>
      <c r="G492" s="13">
        <f>IF(C492="","",ROUND(E492*F492,2))</f>
        <v/>
      </c>
      <c r="H492" s="13">
        <f>IF(C492="","",IFERROR(VLOOKUP(C492,Inventory!$A$2:$J$501,9,FALSE),0))</f>
        <v/>
      </c>
      <c r="I492" s="13">
        <f>IF(C492="","",ROUND(E492*H492,2))</f>
        <v/>
      </c>
      <c r="J492" s="11" t="n"/>
      <c r="K492" s="11" t="n"/>
      <c r="L492" s="13">
        <f>IF(C492="","",ROUND(G492-I492-J492-K492,2))</f>
        <v/>
      </c>
      <c r="M492" s="10" t="n"/>
      <c r="N492" s="10" t="n"/>
      <c r="O492" s="12">
        <f>IF(C492="","",IFERROR(VLOOKUP(C492,Inventory!$A$2:$B$501,2,FALSE),"Unknown lot"))</f>
        <v/>
      </c>
      <c r="P492" s="12">
        <f>IF(D492="","",IFERROR(VLOOKUP(D492,Clients!$A$2:$B$501,2,FALSE),"Unknown client"))</f>
        <v/>
      </c>
      <c r="Q492" s="12">
        <f>IF(C492="","",IF(COUNTIF(Inventory!$A$2:$A$501,C492)&lt;&gt;1,"Check lot ID",IF(OR(A492="",B492="",E492="",F492=""),"Complete required fields",IF(COUNTIF($B$2:$B$501,B492)&gt;1,"Duplicate sale ID",IF(AND(D492&lt;&gt;"",COUNTIF(Clients!$A$2:$A$501,D492)&lt;&gt;1),"Check client ID",IF(VLOOKUP(C492,Inventory!$A$2:$L$501,12,FALSE)&lt;0,"OVER SOLD","OK"))))))</f>
        <v/>
      </c>
    </row>
    <row r="493" ht="23" customHeight="1">
      <c r="A493" s="18" t="n"/>
      <c r="B493" s="14" t="n"/>
      <c r="C493" s="14" t="n"/>
      <c r="D493" s="14" t="n"/>
      <c r="E493" s="15" t="n"/>
      <c r="F493" s="16" t="n"/>
      <c r="G493" s="13">
        <f>IF(C493="","",ROUND(E493*F493,2))</f>
        <v/>
      </c>
      <c r="H493" s="13">
        <f>IF(C493="","",IFERROR(VLOOKUP(C493,Inventory!$A$2:$J$501,9,FALSE),0))</f>
        <v/>
      </c>
      <c r="I493" s="13">
        <f>IF(C493="","",ROUND(E493*H493,2))</f>
        <v/>
      </c>
      <c r="J493" s="16" t="n"/>
      <c r="K493" s="16" t="n"/>
      <c r="L493" s="13">
        <f>IF(C493="","",ROUND(G493-I493-J493-K493,2))</f>
        <v/>
      </c>
      <c r="M493" s="15" t="n"/>
      <c r="N493" s="15" t="n"/>
      <c r="O493" s="12">
        <f>IF(C493="","",IFERROR(VLOOKUP(C493,Inventory!$A$2:$B$501,2,FALSE),"Unknown lot"))</f>
        <v/>
      </c>
      <c r="P493" s="12">
        <f>IF(D493="","",IFERROR(VLOOKUP(D493,Clients!$A$2:$B$501,2,FALSE),"Unknown client"))</f>
        <v/>
      </c>
      <c r="Q493" s="12">
        <f>IF(C493="","",IF(COUNTIF(Inventory!$A$2:$A$501,C493)&lt;&gt;1,"Check lot ID",IF(OR(A493="",B493="",E493="",F493=""),"Complete required fields",IF(COUNTIF($B$2:$B$501,B493)&gt;1,"Duplicate sale ID",IF(AND(D493&lt;&gt;"",COUNTIF(Clients!$A$2:$A$501,D493)&lt;&gt;1),"Check client ID",IF(VLOOKUP(C493,Inventory!$A$2:$L$501,12,FALSE)&lt;0,"OVER SOLD","OK"))))))</f>
        <v/>
      </c>
    </row>
    <row r="494" ht="23" customHeight="1">
      <c r="A494" s="17" t="n"/>
      <c r="B494" s="9" t="n"/>
      <c r="C494" s="9" t="n"/>
      <c r="D494" s="9" t="n"/>
      <c r="E494" s="10" t="n"/>
      <c r="F494" s="11" t="n"/>
      <c r="G494" s="13">
        <f>IF(C494="","",ROUND(E494*F494,2))</f>
        <v/>
      </c>
      <c r="H494" s="13">
        <f>IF(C494="","",IFERROR(VLOOKUP(C494,Inventory!$A$2:$J$501,9,FALSE),0))</f>
        <v/>
      </c>
      <c r="I494" s="13">
        <f>IF(C494="","",ROUND(E494*H494,2))</f>
        <v/>
      </c>
      <c r="J494" s="11" t="n"/>
      <c r="K494" s="11" t="n"/>
      <c r="L494" s="13">
        <f>IF(C494="","",ROUND(G494-I494-J494-K494,2))</f>
        <v/>
      </c>
      <c r="M494" s="10" t="n"/>
      <c r="N494" s="10" t="n"/>
      <c r="O494" s="12">
        <f>IF(C494="","",IFERROR(VLOOKUP(C494,Inventory!$A$2:$B$501,2,FALSE),"Unknown lot"))</f>
        <v/>
      </c>
      <c r="P494" s="12">
        <f>IF(D494="","",IFERROR(VLOOKUP(D494,Clients!$A$2:$B$501,2,FALSE),"Unknown client"))</f>
        <v/>
      </c>
      <c r="Q494" s="12">
        <f>IF(C494="","",IF(COUNTIF(Inventory!$A$2:$A$501,C494)&lt;&gt;1,"Check lot ID",IF(OR(A494="",B494="",E494="",F494=""),"Complete required fields",IF(COUNTIF($B$2:$B$501,B494)&gt;1,"Duplicate sale ID",IF(AND(D494&lt;&gt;"",COUNTIF(Clients!$A$2:$A$501,D494)&lt;&gt;1),"Check client ID",IF(VLOOKUP(C494,Inventory!$A$2:$L$501,12,FALSE)&lt;0,"OVER SOLD","OK"))))))</f>
        <v/>
      </c>
    </row>
    <row r="495" ht="23" customHeight="1">
      <c r="A495" s="18" t="n"/>
      <c r="B495" s="14" t="n"/>
      <c r="C495" s="14" t="n"/>
      <c r="D495" s="14" t="n"/>
      <c r="E495" s="15" t="n"/>
      <c r="F495" s="16" t="n"/>
      <c r="G495" s="13">
        <f>IF(C495="","",ROUND(E495*F495,2))</f>
        <v/>
      </c>
      <c r="H495" s="13">
        <f>IF(C495="","",IFERROR(VLOOKUP(C495,Inventory!$A$2:$J$501,9,FALSE),0))</f>
        <v/>
      </c>
      <c r="I495" s="13">
        <f>IF(C495="","",ROUND(E495*H495,2))</f>
        <v/>
      </c>
      <c r="J495" s="16" t="n"/>
      <c r="K495" s="16" t="n"/>
      <c r="L495" s="13">
        <f>IF(C495="","",ROUND(G495-I495-J495-K495,2))</f>
        <v/>
      </c>
      <c r="M495" s="15" t="n"/>
      <c r="N495" s="15" t="n"/>
      <c r="O495" s="12">
        <f>IF(C495="","",IFERROR(VLOOKUP(C495,Inventory!$A$2:$B$501,2,FALSE),"Unknown lot"))</f>
        <v/>
      </c>
      <c r="P495" s="12">
        <f>IF(D495="","",IFERROR(VLOOKUP(D495,Clients!$A$2:$B$501,2,FALSE),"Unknown client"))</f>
        <v/>
      </c>
      <c r="Q495" s="12">
        <f>IF(C495="","",IF(COUNTIF(Inventory!$A$2:$A$501,C495)&lt;&gt;1,"Check lot ID",IF(OR(A495="",B495="",E495="",F495=""),"Complete required fields",IF(COUNTIF($B$2:$B$501,B495)&gt;1,"Duplicate sale ID",IF(AND(D495&lt;&gt;"",COUNTIF(Clients!$A$2:$A$501,D495)&lt;&gt;1),"Check client ID",IF(VLOOKUP(C495,Inventory!$A$2:$L$501,12,FALSE)&lt;0,"OVER SOLD","OK"))))))</f>
        <v/>
      </c>
    </row>
    <row r="496" ht="23" customHeight="1">
      <c r="A496" s="17" t="n"/>
      <c r="B496" s="9" t="n"/>
      <c r="C496" s="9" t="n"/>
      <c r="D496" s="9" t="n"/>
      <c r="E496" s="10" t="n"/>
      <c r="F496" s="11" t="n"/>
      <c r="G496" s="13">
        <f>IF(C496="","",ROUND(E496*F496,2))</f>
        <v/>
      </c>
      <c r="H496" s="13">
        <f>IF(C496="","",IFERROR(VLOOKUP(C496,Inventory!$A$2:$J$501,9,FALSE),0))</f>
        <v/>
      </c>
      <c r="I496" s="13">
        <f>IF(C496="","",ROUND(E496*H496,2))</f>
        <v/>
      </c>
      <c r="J496" s="11" t="n"/>
      <c r="K496" s="11" t="n"/>
      <c r="L496" s="13">
        <f>IF(C496="","",ROUND(G496-I496-J496-K496,2))</f>
        <v/>
      </c>
      <c r="M496" s="10" t="n"/>
      <c r="N496" s="10" t="n"/>
      <c r="O496" s="12">
        <f>IF(C496="","",IFERROR(VLOOKUP(C496,Inventory!$A$2:$B$501,2,FALSE),"Unknown lot"))</f>
        <v/>
      </c>
      <c r="P496" s="12">
        <f>IF(D496="","",IFERROR(VLOOKUP(D496,Clients!$A$2:$B$501,2,FALSE),"Unknown client"))</f>
        <v/>
      </c>
      <c r="Q496" s="12">
        <f>IF(C496="","",IF(COUNTIF(Inventory!$A$2:$A$501,C496)&lt;&gt;1,"Check lot ID",IF(OR(A496="",B496="",E496="",F496=""),"Complete required fields",IF(COUNTIF($B$2:$B$501,B496)&gt;1,"Duplicate sale ID",IF(AND(D496&lt;&gt;"",COUNTIF(Clients!$A$2:$A$501,D496)&lt;&gt;1),"Check client ID",IF(VLOOKUP(C496,Inventory!$A$2:$L$501,12,FALSE)&lt;0,"OVER SOLD","OK"))))))</f>
        <v/>
      </c>
    </row>
    <row r="497" ht="23" customHeight="1">
      <c r="A497" s="18" t="n"/>
      <c r="B497" s="14" t="n"/>
      <c r="C497" s="14" t="n"/>
      <c r="D497" s="14" t="n"/>
      <c r="E497" s="15" t="n"/>
      <c r="F497" s="16" t="n"/>
      <c r="G497" s="13">
        <f>IF(C497="","",ROUND(E497*F497,2))</f>
        <v/>
      </c>
      <c r="H497" s="13">
        <f>IF(C497="","",IFERROR(VLOOKUP(C497,Inventory!$A$2:$J$501,9,FALSE),0))</f>
        <v/>
      </c>
      <c r="I497" s="13">
        <f>IF(C497="","",ROUND(E497*H497,2))</f>
        <v/>
      </c>
      <c r="J497" s="16" t="n"/>
      <c r="K497" s="16" t="n"/>
      <c r="L497" s="13">
        <f>IF(C497="","",ROUND(G497-I497-J497-K497,2))</f>
        <v/>
      </c>
      <c r="M497" s="15" t="n"/>
      <c r="N497" s="15" t="n"/>
      <c r="O497" s="12">
        <f>IF(C497="","",IFERROR(VLOOKUP(C497,Inventory!$A$2:$B$501,2,FALSE),"Unknown lot"))</f>
        <v/>
      </c>
      <c r="P497" s="12">
        <f>IF(D497="","",IFERROR(VLOOKUP(D497,Clients!$A$2:$B$501,2,FALSE),"Unknown client"))</f>
        <v/>
      </c>
      <c r="Q497" s="12">
        <f>IF(C497="","",IF(COUNTIF(Inventory!$A$2:$A$501,C497)&lt;&gt;1,"Check lot ID",IF(OR(A497="",B497="",E497="",F497=""),"Complete required fields",IF(COUNTIF($B$2:$B$501,B497)&gt;1,"Duplicate sale ID",IF(AND(D497&lt;&gt;"",COUNTIF(Clients!$A$2:$A$501,D497)&lt;&gt;1),"Check client ID",IF(VLOOKUP(C497,Inventory!$A$2:$L$501,12,FALSE)&lt;0,"OVER SOLD","OK"))))))</f>
        <v/>
      </c>
    </row>
    <row r="498" ht="23" customHeight="1">
      <c r="A498" s="17" t="n"/>
      <c r="B498" s="9" t="n"/>
      <c r="C498" s="9" t="n"/>
      <c r="D498" s="9" t="n"/>
      <c r="E498" s="10" t="n"/>
      <c r="F498" s="11" t="n"/>
      <c r="G498" s="13">
        <f>IF(C498="","",ROUND(E498*F498,2))</f>
        <v/>
      </c>
      <c r="H498" s="13">
        <f>IF(C498="","",IFERROR(VLOOKUP(C498,Inventory!$A$2:$J$501,9,FALSE),0))</f>
        <v/>
      </c>
      <c r="I498" s="13">
        <f>IF(C498="","",ROUND(E498*H498,2))</f>
        <v/>
      </c>
      <c r="J498" s="11" t="n"/>
      <c r="K498" s="11" t="n"/>
      <c r="L498" s="13">
        <f>IF(C498="","",ROUND(G498-I498-J498-K498,2))</f>
        <v/>
      </c>
      <c r="M498" s="10" t="n"/>
      <c r="N498" s="10" t="n"/>
      <c r="O498" s="12">
        <f>IF(C498="","",IFERROR(VLOOKUP(C498,Inventory!$A$2:$B$501,2,FALSE),"Unknown lot"))</f>
        <v/>
      </c>
      <c r="P498" s="12">
        <f>IF(D498="","",IFERROR(VLOOKUP(D498,Clients!$A$2:$B$501,2,FALSE),"Unknown client"))</f>
        <v/>
      </c>
      <c r="Q498" s="12">
        <f>IF(C498="","",IF(COUNTIF(Inventory!$A$2:$A$501,C498)&lt;&gt;1,"Check lot ID",IF(OR(A498="",B498="",E498="",F498=""),"Complete required fields",IF(COUNTIF($B$2:$B$501,B498)&gt;1,"Duplicate sale ID",IF(AND(D498&lt;&gt;"",COUNTIF(Clients!$A$2:$A$501,D498)&lt;&gt;1),"Check client ID",IF(VLOOKUP(C498,Inventory!$A$2:$L$501,12,FALSE)&lt;0,"OVER SOLD","OK"))))))</f>
        <v/>
      </c>
    </row>
    <row r="499" ht="23" customHeight="1">
      <c r="A499" s="18" t="n"/>
      <c r="B499" s="14" t="n"/>
      <c r="C499" s="14" t="n"/>
      <c r="D499" s="14" t="n"/>
      <c r="E499" s="15" t="n"/>
      <c r="F499" s="16" t="n"/>
      <c r="G499" s="13">
        <f>IF(C499="","",ROUND(E499*F499,2))</f>
        <v/>
      </c>
      <c r="H499" s="13">
        <f>IF(C499="","",IFERROR(VLOOKUP(C499,Inventory!$A$2:$J$501,9,FALSE),0))</f>
        <v/>
      </c>
      <c r="I499" s="13">
        <f>IF(C499="","",ROUND(E499*H499,2))</f>
        <v/>
      </c>
      <c r="J499" s="16" t="n"/>
      <c r="K499" s="16" t="n"/>
      <c r="L499" s="13">
        <f>IF(C499="","",ROUND(G499-I499-J499-K499,2))</f>
        <v/>
      </c>
      <c r="M499" s="15" t="n"/>
      <c r="N499" s="15" t="n"/>
      <c r="O499" s="12">
        <f>IF(C499="","",IFERROR(VLOOKUP(C499,Inventory!$A$2:$B$501,2,FALSE),"Unknown lot"))</f>
        <v/>
      </c>
      <c r="P499" s="12">
        <f>IF(D499="","",IFERROR(VLOOKUP(D499,Clients!$A$2:$B$501,2,FALSE),"Unknown client"))</f>
        <v/>
      </c>
      <c r="Q499" s="12">
        <f>IF(C499="","",IF(COUNTIF(Inventory!$A$2:$A$501,C499)&lt;&gt;1,"Check lot ID",IF(OR(A499="",B499="",E499="",F499=""),"Complete required fields",IF(COUNTIF($B$2:$B$501,B499)&gt;1,"Duplicate sale ID",IF(AND(D499&lt;&gt;"",COUNTIF(Clients!$A$2:$A$501,D499)&lt;&gt;1),"Check client ID",IF(VLOOKUP(C499,Inventory!$A$2:$L$501,12,FALSE)&lt;0,"OVER SOLD","OK"))))))</f>
        <v/>
      </c>
    </row>
    <row r="500" ht="23" customHeight="1">
      <c r="A500" s="17" t="n"/>
      <c r="B500" s="9" t="n"/>
      <c r="C500" s="9" t="n"/>
      <c r="D500" s="9" t="n"/>
      <c r="E500" s="10" t="n"/>
      <c r="F500" s="11" t="n"/>
      <c r="G500" s="13">
        <f>IF(C500="","",ROUND(E500*F500,2))</f>
        <v/>
      </c>
      <c r="H500" s="13">
        <f>IF(C500="","",IFERROR(VLOOKUP(C500,Inventory!$A$2:$J$501,9,FALSE),0))</f>
        <v/>
      </c>
      <c r="I500" s="13">
        <f>IF(C500="","",ROUND(E500*H500,2))</f>
        <v/>
      </c>
      <c r="J500" s="11" t="n"/>
      <c r="K500" s="11" t="n"/>
      <c r="L500" s="13">
        <f>IF(C500="","",ROUND(G500-I500-J500-K500,2))</f>
        <v/>
      </c>
      <c r="M500" s="10" t="n"/>
      <c r="N500" s="10" t="n"/>
      <c r="O500" s="12">
        <f>IF(C500="","",IFERROR(VLOOKUP(C500,Inventory!$A$2:$B$501,2,FALSE),"Unknown lot"))</f>
        <v/>
      </c>
      <c r="P500" s="12">
        <f>IF(D500="","",IFERROR(VLOOKUP(D500,Clients!$A$2:$B$501,2,FALSE),"Unknown client"))</f>
        <v/>
      </c>
      <c r="Q500" s="12">
        <f>IF(C500="","",IF(COUNTIF(Inventory!$A$2:$A$501,C500)&lt;&gt;1,"Check lot ID",IF(OR(A500="",B500="",E500="",F500=""),"Complete required fields",IF(COUNTIF($B$2:$B$501,B500)&gt;1,"Duplicate sale ID",IF(AND(D500&lt;&gt;"",COUNTIF(Clients!$A$2:$A$501,D500)&lt;&gt;1),"Check client ID",IF(VLOOKUP(C500,Inventory!$A$2:$L$501,12,FALSE)&lt;0,"OVER SOLD","OK"))))))</f>
        <v/>
      </c>
    </row>
    <row r="501" ht="23" customHeight="1">
      <c r="A501" s="18" t="n"/>
      <c r="B501" s="14" t="n"/>
      <c r="C501" s="14" t="n"/>
      <c r="D501" s="14" t="n"/>
      <c r="E501" s="15" t="n"/>
      <c r="F501" s="16" t="n"/>
      <c r="G501" s="13">
        <f>IF(C501="","",ROUND(E501*F501,2))</f>
        <v/>
      </c>
      <c r="H501" s="13">
        <f>IF(C501="","",IFERROR(VLOOKUP(C501,Inventory!$A$2:$J$501,9,FALSE),0))</f>
        <v/>
      </c>
      <c r="I501" s="13">
        <f>IF(C501="","",ROUND(E501*H501,2))</f>
        <v/>
      </c>
      <c r="J501" s="16" t="n"/>
      <c r="K501" s="16" t="n"/>
      <c r="L501" s="13">
        <f>IF(C501="","",ROUND(G501-I501-J501-K501,2))</f>
        <v/>
      </c>
      <c r="M501" s="15" t="n"/>
      <c r="N501" s="15" t="n"/>
      <c r="O501" s="12">
        <f>IF(C501="","",IFERROR(VLOOKUP(C501,Inventory!$A$2:$B$501,2,FALSE),"Unknown lot"))</f>
        <v/>
      </c>
      <c r="P501" s="12">
        <f>IF(D501="","",IFERROR(VLOOKUP(D501,Clients!$A$2:$B$501,2,FALSE),"Unknown client"))</f>
        <v/>
      </c>
      <c r="Q501" s="12">
        <f>IF(C501="","",IF(COUNTIF(Inventory!$A$2:$A$501,C501)&lt;&gt;1,"Check lot ID",IF(OR(A501="",B501="",E501="",F501=""),"Complete required fields",IF(COUNTIF($B$2:$B$501,B501)&gt;1,"Duplicate sale ID",IF(AND(D501&lt;&gt;"",COUNTIF(Clients!$A$2:$A$501,D501)&lt;&gt;1),"Check client ID",IF(VLOOKUP(C501,Inventory!$A$2:$L$501,12,FALSE)&lt;0,"OVER SOLD","OK"))))))</f>
        <v/>
      </c>
    </row>
  </sheetData>
  <autoFilter ref="A1:Q501"/>
  <conditionalFormatting sqref="L2:L501">
    <cfRule type="cellIs" priority="1" operator="lessThan" dxfId="1">
      <formula>0</formula>
    </cfRule>
  </conditionalFormatting>
  <dataValidations count="7">
    <dataValidation sqref="E2:E501" showDropDown="0" showInputMessage="0" showErrorMessage="1" allowBlank="1" errorTitle="Check this value" error="Enter a valid non-negative amount or whole-number quantity." type="whole" errorStyle="stop" operator="greaterThanOrEqual">
      <formula1>1</formula1>
    </dataValidation>
    <dataValidation sqref="F2:F501" showDropDown="0" showInputMessage="0" showErrorMessage="1" allowBlank="1" errorTitle="Check this value" error="Enter a valid non-negative amount or whole-number quantity." type="decimal" errorStyle="stop" operator="greaterThanOrEqual">
      <formula1>0</formula1>
    </dataValidation>
    <dataValidation sqref="J2:J501" showDropDown="0" showInputMessage="0" showErrorMessage="1" allowBlank="1" errorTitle="Check this value" error="Enter a valid non-negative amount or whole-number quantity." type="decimal" errorStyle="stop" operator="greaterThanOrEqual">
      <formula1>0</formula1>
    </dataValidation>
    <dataValidation sqref="K2:K501" showDropDown="0" showInputMessage="0" showErrorMessage="1" allowBlank="1" errorTitle="Check this value" error="Enter a valid non-negative amount or whole-number quantity." type="decimal" errorStyle="stop" operator="greaterThanOrEqual">
      <formula1>0</formula1>
    </dataValidation>
    <dataValidation sqref="A2:A501" showDropDown="0" showInputMessage="0" showErrorMessage="1" allowBlank="1" error="Enter a valid sale date that is not in the future." type="date" operator="between">
      <formula1>DATE(1900,1,1)</formula1>
      <formula2>TODAY()</formula2>
    </dataValidation>
    <dataValidation sqref="C2:C501" showDropDown="0" showInputMessage="0" showErrorMessage="1" allowBlank="1" error="Choose an existing ID." type="list">
      <formula1>INDIRECT("'Inventory'!$A$2:$A$501")</formula1>
    </dataValidation>
    <dataValidation sqref="D2:D501" showDropDown="0" showInputMessage="0" showErrorMessage="1" allowBlank="1" error="Choose an existing ID." type="list">
      <formula1>INDIRECT("'Clients'!$A$2:$A$501")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34" customHeight="1">
      <c r="A1" s="8" t="inlineStr">
        <is>
          <t>Client ID</t>
        </is>
      </c>
      <c r="B1" s="8" t="inlineStr">
        <is>
          <t>Client name</t>
        </is>
      </c>
      <c r="C1" s="8" t="inlineStr">
        <is>
          <t>Email</t>
        </is>
      </c>
      <c r="D1" s="8" t="inlineStr">
        <is>
          <t>Phone</t>
        </is>
      </c>
      <c r="E1" s="8" t="inlineStr">
        <is>
          <t>Notes</t>
        </is>
      </c>
      <c r="F1" s="8" t="inlineStr">
        <is>
          <t>Sale count</t>
        </is>
      </c>
      <c r="G1" s="8" t="inlineStr">
        <is>
          <t>Total spending</t>
        </is>
      </c>
      <c r="H1" s="8" t="inlineStr">
        <is>
          <t>Check</t>
        </is>
      </c>
    </row>
    <row r="2" ht="23" customHeight="1">
      <c r="A2" s="9" t="n"/>
      <c r="B2" s="10" t="n"/>
      <c r="C2" s="10" t="n"/>
      <c r="D2" s="9" t="n"/>
      <c r="E2" s="10" t="n"/>
      <c r="F2" s="12">
        <f>IF(A2="","",COUNTIF(Sales!$D$2:$D$501,A2))</f>
        <v/>
      </c>
      <c r="G2" s="13">
        <f>IF(A2="","",SUMIF(Sales!$D$2:$D$501,A2,Sales!$G$2:$G$501))</f>
        <v/>
      </c>
      <c r="H2" s="12">
        <f>IF(A2="","",IF(COUNTIF($A$2:$A$501,A2)&gt;1,"Duplicate client ID",IF(B2="","Add client name","OK")))</f>
        <v/>
      </c>
    </row>
    <row r="3" ht="23" customHeight="1">
      <c r="A3" s="14" t="n"/>
      <c r="B3" s="15" t="n"/>
      <c r="C3" s="15" t="n"/>
      <c r="D3" s="14" t="n"/>
      <c r="E3" s="15" t="n"/>
      <c r="F3" s="12">
        <f>IF(A3="","",COUNTIF(Sales!$D$2:$D$501,A3))</f>
        <v/>
      </c>
      <c r="G3" s="13">
        <f>IF(A3="","",SUMIF(Sales!$D$2:$D$501,A3,Sales!$G$2:$G$501))</f>
        <v/>
      </c>
      <c r="H3" s="12">
        <f>IF(A3="","",IF(COUNTIF($A$2:$A$501,A3)&gt;1,"Duplicate client ID",IF(B3="","Add client name","OK")))</f>
        <v/>
      </c>
    </row>
    <row r="4" ht="23" customHeight="1">
      <c r="A4" s="9" t="n"/>
      <c r="B4" s="10" t="n"/>
      <c r="C4" s="10" t="n"/>
      <c r="D4" s="9" t="n"/>
      <c r="E4" s="10" t="n"/>
      <c r="F4" s="12">
        <f>IF(A4="","",COUNTIF(Sales!$D$2:$D$501,A4))</f>
        <v/>
      </c>
      <c r="G4" s="13">
        <f>IF(A4="","",SUMIF(Sales!$D$2:$D$501,A4,Sales!$G$2:$G$501))</f>
        <v/>
      </c>
      <c r="H4" s="12">
        <f>IF(A4="","",IF(COUNTIF($A$2:$A$501,A4)&gt;1,"Duplicate client ID",IF(B4="","Add client name","OK")))</f>
        <v/>
      </c>
    </row>
    <row r="5" ht="23" customHeight="1">
      <c r="A5" s="14" t="n"/>
      <c r="B5" s="15" t="n"/>
      <c r="C5" s="15" t="n"/>
      <c r="D5" s="14" t="n"/>
      <c r="E5" s="15" t="n"/>
      <c r="F5" s="12">
        <f>IF(A5="","",COUNTIF(Sales!$D$2:$D$501,A5))</f>
        <v/>
      </c>
      <c r="G5" s="13">
        <f>IF(A5="","",SUMIF(Sales!$D$2:$D$501,A5,Sales!$G$2:$G$501))</f>
        <v/>
      </c>
      <c r="H5" s="12">
        <f>IF(A5="","",IF(COUNTIF($A$2:$A$501,A5)&gt;1,"Duplicate client ID",IF(B5="","Add client name","OK")))</f>
        <v/>
      </c>
    </row>
    <row r="6" ht="23" customHeight="1">
      <c r="A6" s="9" t="n"/>
      <c r="B6" s="10" t="n"/>
      <c r="C6" s="10" t="n"/>
      <c r="D6" s="9" t="n"/>
      <c r="E6" s="10" t="n"/>
      <c r="F6" s="12">
        <f>IF(A6="","",COUNTIF(Sales!$D$2:$D$501,A6))</f>
        <v/>
      </c>
      <c r="G6" s="13">
        <f>IF(A6="","",SUMIF(Sales!$D$2:$D$501,A6,Sales!$G$2:$G$501))</f>
        <v/>
      </c>
      <c r="H6" s="12">
        <f>IF(A6="","",IF(COUNTIF($A$2:$A$501,A6)&gt;1,"Duplicate client ID",IF(B6="","Add client name","OK")))</f>
        <v/>
      </c>
    </row>
    <row r="7" ht="23" customHeight="1">
      <c r="A7" s="14" t="n"/>
      <c r="B7" s="15" t="n"/>
      <c r="C7" s="15" t="n"/>
      <c r="D7" s="14" t="n"/>
      <c r="E7" s="15" t="n"/>
      <c r="F7" s="12">
        <f>IF(A7="","",COUNTIF(Sales!$D$2:$D$501,A7))</f>
        <v/>
      </c>
      <c r="G7" s="13">
        <f>IF(A7="","",SUMIF(Sales!$D$2:$D$501,A7,Sales!$G$2:$G$501))</f>
        <v/>
      </c>
      <c r="H7" s="12">
        <f>IF(A7="","",IF(COUNTIF($A$2:$A$501,A7)&gt;1,"Duplicate client ID",IF(B7="","Add client name","OK")))</f>
        <v/>
      </c>
    </row>
    <row r="8" ht="23" customHeight="1">
      <c r="A8" s="9" t="n"/>
      <c r="B8" s="10" t="n"/>
      <c r="C8" s="10" t="n"/>
      <c r="D8" s="9" t="n"/>
      <c r="E8" s="10" t="n"/>
      <c r="F8" s="12">
        <f>IF(A8="","",COUNTIF(Sales!$D$2:$D$501,A8))</f>
        <v/>
      </c>
      <c r="G8" s="13">
        <f>IF(A8="","",SUMIF(Sales!$D$2:$D$501,A8,Sales!$G$2:$G$501))</f>
        <v/>
      </c>
      <c r="H8" s="12">
        <f>IF(A8="","",IF(COUNTIF($A$2:$A$501,A8)&gt;1,"Duplicate client ID",IF(B8="","Add client name","OK")))</f>
        <v/>
      </c>
    </row>
    <row r="9" ht="23" customHeight="1">
      <c r="A9" s="14" t="n"/>
      <c r="B9" s="15" t="n"/>
      <c r="C9" s="15" t="n"/>
      <c r="D9" s="14" t="n"/>
      <c r="E9" s="15" t="n"/>
      <c r="F9" s="12">
        <f>IF(A9="","",COUNTIF(Sales!$D$2:$D$501,A9))</f>
        <v/>
      </c>
      <c r="G9" s="13">
        <f>IF(A9="","",SUMIF(Sales!$D$2:$D$501,A9,Sales!$G$2:$G$501))</f>
        <v/>
      </c>
      <c r="H9" s="12">
        <f>IF(A9="","",IF(COUNTIF($A$2:$A$501,A9)&gt;1,"Duplicate client ID",IF(B9="","Add client name","OK")))</f>
        <v/>
      </c>
    </row>
    <row r="10" ht="23" customHeight="1">
      <c r="A10" s="9" t="n"/>
      <c r="B10" s="10" t="n"/>
      <c r="C10" s="10" t="n"/>
      <c r="D10" s="9" t="n"/>
      <c r="E10" s="10" t="n"/>
      <c r="F10" s="12">
        <f>IF(A10="","",COUNTIF(Sales!$D$2:$D$501,A10))</f>
        <v/>
      </c>
      <c r="G10" s="13">
        <f>IF(A10="","",SUMIF(Sales!$D$2:$D$501,A10,Sales!$G$2:$G$501))</f>
        <v/>
      </c>
      <c r="H10" s="12">
        <f>IF(A10="","",IF(COUNTIF($A$2:$A$501,A10)&gt;1,"Duplicate client ID",IF(B10="","Add client name","OK")))</f>
        <v/>
      </c>
    </row>
    <row r="11" ht="23" customHeight="1">
      <c r="A11" s="14" t="n"/>
      <c r="B11" s="15" t="n"/>
      <c r="C11" s="15" t="n"/>
      <c r="D11" s="14" t="n"/>
      <c r="E11" s="15" t="n"/>
      <c r="F11" s="12">
        <f>IF(A11="","",COUNTIF(Sales!$D$2:$D$501,A11))</f>
        <v/>
      </c>
      <c r="G11" s="13">
        <f>IF(A11="","",SUMIF(Sales!$D$2:$D$501,A11,Sales!$G$2:$G$501))</f>
        <v/>
      </c>
      <c r="H11" s="12">
        <f>IF(A11="","",IF(COUNTIF($A$2:$A$501,A11)&gt;1,"Duplicate client ID",IF(B11="","Add client name","OK")))</f>
        <v/>
      </c>
    </row>
    <row r="12" ht="23" customHeight="1">
      <c r="A12" s="9" t="n"/>
      <c r="B12" s="10" t="n"/>
      <c r="C12" s="10" t="n"/>
      <c r="D12" s="9" t="n"/>
      <c r="E12" s="10" t="n"/>
      <c r="F12" s="12">
        <f>IF(A12="","",COUNTIF(Sales!$D$2:$D$501,A12))</f>
        <v/>
      </c>
      <c r="G12" s="13">
        <f>IF(A12="","",SUMIF(Sales!$D$2:$D$501,A12,Sales!$G$2:$G$501))</f>
        <v/>
      </c>
      <c r="H12" s="12">
        <f>IF(A12="","",IF(COUNTIF($A$2:$A$501,A12)&gt;1,"Duplicate client ID",IF(B12="","Add client name","OK")))</f>
        <v/>
      </c>
    </row>
    <row r="13" ht="23" customHeight="1">
      <c r="A13" s="14" t="n"/>
      <c r="B13" s="15" t="n"/>
      <c r="C13" s="15" t="n"/>
      <c r="D13" s="14" t="n"/>
      <c r="E13" s="15" t="n"/>
      <c r="F13" s="12">
        <f>IF(A13="","",COUNTIF(Sales!$D$2:$D$501,A13))</f>
        <v/>
      </c>
      <c r="G13" s="13">
        <f>IF(A13="","",SUMIF(Sales!$D$2:$D$501,A13,Sales!$G$2:$G$501))</f>
        <v/>
      </c>
      <c r="H13" s="12">
        <f>IF(A13="","",IF(COUNTIF($A$2:$A$501,A13)&gt;1,"Duplicate client ID",IF(B13="","Add client name","OK")))</f>
        <v/>
      </c>
    </row>
    <row r="14" ht="23" customHeight="1">
      <c r="A14" s="9" t="n"/>
      <c r="B14" s="10" t="n"/>
      <c r="C14" s="10" t="n"/>
      <c r="D14" s="9" t="n"/>
      <c r="E14" s="10" t="n"/>
      <c r="F14" s="12">
        <f>IF(A14="","",COUNTIF(Sales!$D$2:$D$501,A14))</f>
        <v/>
      </c>
      <c r="G14" s="13">
        <f>IF(A14="","",SUMIF(Sales!$D$2:$D$501,A14,Sales!$G$2:$G$501))</f>
        <v/>
      </c>
      <c r="H14" s="12">
        <f>IF(A14="","",IF(COUNTIF($A$2:$A$501,A14)&gt;1,"Duplicate client ID",IF(B14="","Add client name","OK")))</f>
        <v/>
      </c>
    </row>
    <row r="15" ht="23" customHeight="1">
      <c r="A15" s="14" t="n"/>
      <c r="B15" s="15" t="n"/>
      <c r="C15" s="15" t="n"/>
      <c r="D15" s="14" t="n"/>
      <c r="E15" s="15" t="n"/>
      <c r="F15" s="12">
        <f>IF(A15="","",COUNTIF(Sales!$D$2:$D$501,A15))</f>
        <v/>
      </c>
      <c r="G15" s="13">
        <f>IF(A15="","",SUMIF(Sales!$D$2:$D$501,A15,Sales!$G$2:$G$501))</f>
        <v/>
      </c>
      <c r="H15" s="12">
        <f>IF(A15="","",IF(COUNTIF($A$2:$A$501,A15)&gt;1,"Duplicate client ID",IF(B15="","Add client name","OK")))</f>
        <v/>
      </c>
    </row>
    <row r="16" ht="23" customHeight="1">
      <c r="A16" s="9" t="n"/>
      <c r="B16" s="10" t="n"/>
      <c r="C16" s="10" t="n"/>
      <c r="D16" s="9" t="n"/>
      <c r="E16" s="10" t="n"/>
      <c r="F16" s="12">
        <f>IF(A16="","",COUNTIF(Sales!$D$2:$D$501,A16))</f>
        <v/>
      </c>
      <c r="G16" s="13">
        <f>IF(A16="","",SUMIF(Sales!$D$2:$D$501,A16,Sales!$G$2:$G$501))</f>
        <v/>
      </c>
      <c r="H16" s="12">
        <f>IF(A16="","",IF(COUNTIF($A$2:$A$501,A16)&gt;1,"Duplicate client ID",IF(B16="","Add client name","OK")))</f>
        <v/>
      </c>
    </row>
    <row r="17" ht="23" customHeight="1">
      <c r="A17" s="14" t="n"/>
      <c r="B17" s="15" t="n"/>
      <c r="C17" s="15" t="n"/>
      <c r="D17" s="14" t="n"/>
      <c r="E17" s="15" t="n"/>
      <c r="F17" s="12">
        <f>IF(A17="","",COUNTIF(Sales!$D$2:$D$501,A17))</f>
        <v/>
      </c>
      <c r="G17" s="13">
        <f>IF(A17="","",SUMIF(Sales!$D$2:$D$501,A17,Sales!$G$2:$G$501))</f>
        <v/>
      </c>
      <c r="H17" s="12">
        <f>IF(A17="","",IF(COUNTIF($A$2:$A$501,A17)&gt;1,"Duplicate client ID",IF(B17="","Add client name","OK")))</f>
        <v/>
      </c>
    </row>
    <row r="18" ht="23" customHeight="1">
      <c r="A18" s="9" t="n"/>
      <c r="B18" s="10" t="n"/>
      <c r="C18" s="10" t="n"/>
      <c r="D18" s="9" t="n"/>
      <c r="E18" s="10" t="n"/>
      <c r="F18" s="12">
        <f>IF(A18="","",COUNTIF(Sales!$D$2:$D$501,A18))</f>
        <v/>
      </c>
      <c r="G18" s="13">
        <f>IF(A18="","",SUMIF(Sales!$D$2:$D$501,A18,Sales!$G$2:$G$501))</f>
        <v/>
      </c>
      <c r="H18" s="12">
        <f>IF(A18="","",IF(COUNTIF($A$2:$A$501,A18)&gt;1,"Duplicate client ID",IF(B18="","Add client name","OK")))</f>
        <v/>
      </c>
    </row>
    <row r="19" ht="23" customHeight="1">
      <c r="A19" s="14" t="n"/>
      <c r="B19" s="15" t="n"/>
      <c r="C19" s="15" t="n"/>
      <c r="D19" s="14" t="n"/>
      <c r="E19" s="15" t="n"/>
      <c r="F19" s="12">
        <f>IF(A19="","",COUNTIF(Sales!$D$2:$D$501,A19))</f>
        <v/>
      </c>
      <c r="G19" s="13">
        <f>IF(A19="","",SUMIF(Sales!$D$2:$D$501,A19,Sales!$G$2:$G$501))</f>
        <v/>
      </c>
      <c r="H19" s="12">
        <f>IF(A19="","",IF(COUNTIF($A$2:$A$501,A19)&gt;1,"Duplicate client ID",IF(B19="","Add client name","OK")))</f>
        <v/>
      </c>
    </row>
    <row r="20" ht="23" customHeight="1">
      <c r="A20" s="9" t="n"/>
      <c r="B20" s="10" t="n"/>
      <c r="C20" s="10" t="n"/>
      <c r="D20" s="9" t="n"/>
      <c r="E20" s="10" t="n"/>
      <c r="F20" s="12">
        <f>IF(A20="","",COUNTIF(Sales!$D$2:$D$501,A20))</f>
        <v/>
      </c>
      <c r="G20" s="13">
        <f>IF(A20="","",SUMIF(Sales!$D$2:$D$501,A20,Sales!$G$2:$G$501))</f>
        <v/>
      </c>
      <c r="H20" s="12">
        <f>IF(A20="","",IF(COUNTIF($A$2:$A$501,A20)&gt;1,"Duplicate client ID",IF(B20="","Add client name","OK")))</f>
        <v/>
      </c>
    </row>
    <row r="21" ht="23" customHeight="1">
      <c r="A21" s="14" t="n"/>
      <c r="B21" s="15" t="n"/>
      <c r="C21" s="15" t="n"/>
      <c r="D21" s="14" t="n"/>
      <c r="E21" s="15" t="n"/>
      <c r="F21" s="12">
        <f>IF(A21="","",COUNTIF(Sales!$D$2:$D$501,A21))</f>
        <v/>
      </c>
      <c r="G21" s="13">
        <f>IF(A21="","",SUMIF(Sales!$D$2:$D$501,A21,Sales!$G$2:$G$501))</f>
        <v/>
      </c>
      <c r="H21" s="12">
        <f>IF(A21="","",IF(COUNTIF($A$2:$A$501,A21)&gt;1,"Duplicate client ID",IF(B21="","Add client name","OK")))</f>
        <v/>
      </c>
    </row>
    <row r="22" ht="23" customHeight="1">
      <c r="A22" s="9" t="n"/>
      <c r="B22" s="10" t="n"/>
      <c r="C22" s="10" t="n"/>
      <c r="D22" s="9" t="n"/>
      <c r="E22" s="10" t="n"/>
      <c r="F22" s="12">
        <f>IF(A22="","",COUNTIF(Sales!$D$2:$D$501,A22))</f>
        <v/>
      </c>
      <c r="G22" s="13">
        <f>IF(A22="","",SUMIF(Sales!$D$2:$D$501,A22,Sales!$G$2:$G$501))</f>
        <v/>
      </c>
      <c r="H22" s="12">
        <f>IF(A22="","",IF(COUNTIF($A$2:$A$501,A22)&gt;1,"Duplicate client ID",IF(B22="","Add client name","OK")))</f>
        <v/>
      </c>
    </row>
    <row r="23" ht="23" customHeight="1">
      <c r="A23" s="14" t="n"/>
      <c r="B23" s="15" t="n"/>
      <c r="C23" s="15" t="n"/>
      <c r="D23" s="14" t="n"/>
      <c r="E23" s="15" t="n"/>
      <c r="F23" s="12">
        <f>IF(A23="","",COUNTIF(Sales!$D$2:$D$501,A23))</f>
        <v/>
      </c>
      <c r="G23" s="13">
        <f>IF(A23="","",SUMIF(Sales!$D$2:$D$501,A23,Sales!$G$2:$G$501))</f>
        <v/>
      </c>
      <c r="H23" s="12">
        <f>IF(A23="","",IF(COUNTIF($A$2:$A$501,A23)&gt;1,"Duplicate client ID",IF(B23="","Add client name","OK")))</f>
        <v/>
      </c>
    </row>
    <row r="24" ht="23" customHeight="1">
      <c r="A24" s="9" t="n"/>
      <c r="B24" s="10" t="n"/>
      <c r="C24" s="10" t="n"/>
      <c r="D24" s="9" t="n"/>
      <c r="E24" s="10" t="n"/>
      <c r="F24" s="12">
        <f>IF(A24="","",COUNTIF(Sales!$D$2:$D$501,A24))</f>
        <v/>
      </c>
      <c r="G24" s="13">
        <f>IF(A24="","",SUMIF(Sales!$D$2:$D$501,A24,Sales!$G$2:$G$501))</f>
        <v/>
      </c>
      <c r="H24" s="12">
        <f>IF(A24="","",IF(COUNTIF($A$2:$A$501,A24)&gt;1,"Duplicate client ID",IF(B24="","Add client name","OK")))</f>
        <v/>
      </c>
    </row>
    <row r="25" ht="23" customHeight="1">
      <c r="A25" s="14" t="n"/>
      <c r="B25" s="15" t="n"/>
      <c r="C25" s="15" t="n"/>
      <c r="D25" s="14" t="n"/>
      <c r="E25" s="15" t="n"/>
      <c r="F25" s="12">
        <f>IF(A25="","",COUNTIF(Sales!$D$2:$D$501,A25))</f>
        <v/>
      </c>
      <c r="G25" s="13">
        <f>IF(A25="","",SUMIF(Sales!$D$2:$D$501,A25,Sales!$G$2:$G$501))</f>
        <v/>
      </c>
      <c r="H25" s="12">
        <f>IF(A25="","",IF(COUNTIF($A$2:$A$501,A25)&gt;1,"Duplicate client ID",IF(B25="","Add client name","OK")))</f>
        <v/>
      </c>
    </row>
    <row r="26" ht="23" customHeight="1">
      <c r="A26" s="9" t="n"/>
      <c r="B26" s="10" t="n"/>
      <c r="C26" s="10" t="n"/>
      <c r="D26" s="9" t="n"/>
      <c r="E26" s="10" t="n"/>
      <c r="F26" s="12">
        <f>IF(A26="","",COUNTIF(Sales!$D$2:$D$501,A26))</f>
        <v/>
      </c>
      <c r="G26" s="13">
        <f>IF(A26="","",SUMIF(Sales!$D$2:$D$501,A26,Sales!$G$2:$G$501))</f>
        <v/>
      </c>
      <c r="H26" s="12">
        <f>IF(A26="","",IF(COUNTIF($A$2:$A$501,A26)&gt;1,"Duplicate client ID",IF(B26="","Add client name","OK")))</f>
        <v/>
      </c>
    </row>
    <row r="27" ht="23" customHeight="1">
      <c r="A27" s="14" t="n"/>
      <c r="B27" s="15" t="n"/>
      <c r="C27" s="15" t="n"/>
      <c r="D27" s="14" t="n"/>
      <c r="E27" s="15" t="n"/>
      <c r="F27" s="12">
        <f>IF(A27="","",COUNTIF(Sales!$D$2:$D$501,A27))</f>
        <v/>
      </c>
      <c r="G27" s="13">
        <f>IF(A27="","",SUMIF(Sales!$D$2:$D$501,A27,Sales!$G$2:$G$501))</f>
        <v/>
      </c>
      <c r="H27" s="12">
        <f>IF(A27="","",IF(COUNTIF($A$2:$A$501,A27)&gt;1,"Duplicate client ID",IF(B27="","Add client name","OK")))</f>
        <v/>
      </c>
    </row>
    <row r="28" ht="23" customHeight="1">
      <c r="A28" s="9" t="n"/>
      <c r="B28" s="10" t="n"/>
      <c r="C28" s="10" t="n"/>
      <c r="D28" s="9" t="n"/>
      <c r="E28" s="10" t="n"/>
      <c r="F28" s="12">
        <f>IF(A28="","",COUNTIF(Sales!$D$2:$D$501,A28))</f>
        <v/>
      </c>
      <c r="G28" s="13">
        <f>IF(A28="","",SUMIF(Sales!$D$2:$D$501,A28,Sales!$G$2:$G$501))</f>
        <v/>
      </c>
      <c r="H28" s="12">
        <f>IF(A28="","",IF(COUNTIF($A$2:$A$501,A28)&gt;1,"Duplicate client ID",IF(B28="","Add client name","OK")))</f>
        <v/>
      </c>
    </row>
    <row r="29" ht="23" customHeight="1">
      <c r="A29" s="14" t="n"/>
      <c r="B29" s="15" t="n"/>
      <c r="C29" s="15" t="n"/>
      <c r="D29" s="14" t="n"/>
      <c r="E29" s="15" t="n"/>
      <c r="F29" s="12">
        <f>IF(A29="","",COUNTIF(Sales!$D$2:$D$501,A29))</f>
        <v/>
      </c>
      <c r="G29" s="13">
        <f>IF(A29="","",SUMIF(Sales!$D$2:$D$501,A29,Sales!$G$2:$G$501))</f>
        <v/>
      </c>
      <c r="H29" s="12">
        <f>IF(A29="","",IF(COUNTIF($A$2:$A$501,A29)&gt;1,"Duplicate client ID",IF(B29="","Add client name","OK")))</f>
        <v/>
      </c>
    </row>
    <row r="30" ht="23" customHeight="1">
      <c r="A30" s="9" t="n"/>
      <c r="B30" s="10" t="n"/>
      <c r="C30" s="10" t="n"/>
      <c r="D30" s="9" t="n"/>
      <c r="E30" s="10" t="n"/>
      <c r="F30" s="12">
        <f>IF(A30="","",COUNTIF(Sales!$D$2:$D$501,A30))</f>
        <v/>
      </c>
      <c r="G30" s="13">
        <f>IF(A30="","",SUMIF(Sales!$D$2:$D$501,A30,Sales!$G$2:$G$501))</f>
        <v/>
      </c>
      <c r="H30" s="12">
        <f>IF(A30="","",IF(COUNTIF($A$2:$A$501,A30)&gt;1,"Duplicate client ID",IF(B30="","Add client name","OK")))</f>
        <v/>
      </c>
    </row>
    <row r="31" ht="23" customHeight="1">
      <c r="A31" s="14" t="n"/>
      <c r="B31" s="15" t="n"/>
      <c r="C31" s="15" t="n"/>
      <c r="D31" s="14" t="n"/>
      <c r="E31" s="15" t="n"/>
      <c r="F31" s="12">
        <f>IF(A31="","",COUNTIF(Sales!$D$2:$D$501,A31))</f>
        <v/>
      </c>
      <c r="G31" s="13">
        <f>IF(A31="","",SUMIF(Sales!$D$2:$D$501,A31,Sales!$G$2:$G$501))</f>
        <v/>
      </c>
      <c r="H31" s="12">
        <f>IF(A31="","",IF(COUNTIF($A$2:$A$501,A31)&gt;1,"Duplicate client ID",IF(B31="","Add client name","OK")))</f>
        <v/>
      </c>
    </row>
    <row r="32" ht="23" customHeight="1">
      <c r="A32" s="9" t="n"/>
      <c r="B32" s="10" t="n"/>
      <c r="C32" s="10" t="n"/>
      <c r="D32" s="9" t="n"/>
      <c r="E32" s="10" t="n"/>
      <c r="F32" s="12">
        <f>IF(A32="","",COUNTIF(Sales!$D$2:$D$501,A32))</f>
        <v/>
      </c>
      <c r="G32" s="13">
        <f>IF(A32="","",SUMIF(Sales!$D$2:$D$501,A32,Sales!$G$2:$G$501))</f>
        <v/>
      </c>
      <c r="H32" s="12">
        <f>IF(A32="","",IF(COUNTIF($A$2:$A$501,A32)&gt;1,"Duplicate client ID",IF(B32="","Add client name","OK")))</f>
        <v/>
      </c>
    </row>
    <row r="33" ht="23" customHeight="1">
      <c r="A33" s="14" t="n"/>
      <c r="B33" s="15" t="n"/>
      <c r="C33" s="15" t="n"/>
      <c r="D33" s="14" t="n"/>
      <c r="E33" s="15" t="n"/>
      <c r="F33" s="12">
        <f>IF(A33="","",COUNTIF(Sales!$D$2:$D$501,A33))</f>
        <v/>
      </c>
      <c r="G33" s="13">
        <f>IF(A33="","",SUMIF(Sales!$D$2:$D$501,A33,Sales!$G$2:$G$501))</f>
        <v/>
      </c>
      <c r="H33" s="12">
        <f>IF(A33="","",IF(COUNTIF($A$2:$A$501,A33)&gt;1,"Duplicate client ID",IF(B33="","Add client name","OK")))</f>
        <v/>
      </c>
    </row>
    <row r="34" ht="23" customHeight="1">
      <c r="A34" s="9" t="n"/>
      <c r="B34" s="10" t="n"/>
      <c r="C34" s="10" t="n"/>
      <c r="D34" s="9" t="n"/>
      <c r="E34" s="10" t="n"/>
      <c r="F34" s="12">
        <f>IF(A34="","",COUNTIF(Sales!$D$2:$D$501,A34))</f>
        <v/>
      </c>
      <c r="G34" s="13">
        <f>IF(A34="","",SUMIF(Sales!$D$2:$D$501,A34,Sales!$G$2:$G$501))</f>
        <v/>
      </c>
      <c r="H34" s="12">
        <f>IF(A34="","",IF(COUNTIF($A$2:$A$501,A34)&gt;1,"Duplicate client ID",IF(B34="","Add client name","OK")))</f>
        <v/>
      </c>
    </row>
    <row r="35" ht="23" customHeight="1">
      <c r="A35" s="14" t="n"/>
      <c r="B35" s="15" t="n"/>
      <c r="C35" s="15" t="n"/>
      <c r="D35" s="14" t="n"/>
      <c r="E35" s="15" t="n"/>
      <c r="F35" s="12">
        <f>IF(A35="","",COUNTIF(Sales!$D$2:$D$501,A35))</f>
        <v/>
      </c>
      <c r="G35" s="13">
        <f>IF(A35="","",SUMIF(Sales!$D$2:$D$501,A35,Sales!$G$2:$G$501))</f>
        <v/>
      </c>
      <c r="H35" s="12">
        <f>IF(A35="","",IF(COUNTIF($A$2:$A$501,A35)&gt;1,"Duplicate client ID",IF(B35="","Add client name","OK")))</f>
        <v/>
      </c>
    </row>
    <row r="36" ht="23" customHeight="1">
      <c r="A36" s="9" t="n"/>
      <c r="B36" s="10" t="n"/>
      <c r="C36" s="10" t="n"/>
      <c r="D36" s="9" t="n"/>
      <c r="E36" s="10" t="n"/>
      <c r="F36" s="12">
        <f>IF(A36="","",COUNTIF(Sales!$D$2:$D$501,A36))</f>
        <v/>
      </c>
      <c r="G36" s="13">
        <f>IF(A36="","",SUMIF(Sales!$D$2:$D$501,A36,Sales!$G$2:$G$501))</f>
        <v/>
      </c>
      <c r="H36" s="12">
        <f>IF(A36="","",IF(COUNTIF($A$2:$A$501,A36)&gt;1,"Duplicate client ID",IF(B36="","Add client name","OK")))</f>
        <v/>
      </c>
    </row>
    <row r="37" ht="23" customHeight="1">
      <c r="A37" s="14" t="n"/>
      <c r="B37" s="15" t="n"/>
      <c r="C37" s="15" t="n"/>
      <c r="D37" s="14" t="n"/>
      <c r="E37" s="15" t="n"/>
      <c r="F37" s="12">
        <f>IF(A37="","",COUNTIF(Sales!$D$2:$D$501,A37))</f>
        <v/>
      </c>
      <c r="G37" s="13">
        <f>IF(A37="","",SUMIF(Sales!$D$2:$D$501,A37,Sales!$G$2:$G$501))</f>
        <v/>
      </c>
      <c r="H37" s="12">
        <f>IF(A37="","",IF(COUNTIF($A$2:$A$501,A37)&gt;1,"Duplicate client ID",IF(B37="","Add client name","OK")))</f>
        <v/>
      </c>
    </row>
    <row r="38" ht="23" customHeight="1">
      <c r="A38" s="9" t="n"/>
      <c r="B38" s="10" t="n"/>
      <c r="C38" s="10" t="n"/>
      <c r="D38" s="9" t="n"/>
      <c r="E38" s="10" t="n"/>
      <c r="F38" s="12">
        <f>IF(A38="","",COUNTIF(Sales!$D$2:$D$501,A38))</f>
        <v/>
      </c>
      <c r="G38" s="13">
        <f>IF(A38="","",SUMIF(Sales!$D$2:$D$501,A38,Sales!$G$2:$G$501))</f>
        <v/>
      </c>
      <c r="H38" s="12">
        <f>IF(A38="","",IF(COUNTIF($A$2:$A$501,A38)&gt;1,"Duplicate client ID",IF(B38="","Add client name","OK")))</f>
        <v/>
      </c>
    </row>
    <row r="39" ht="23" customHeight="1">
      <c r="A39" s="14" t="n"/>
      <c r="B39" s="15" t="n"/>
      <c r="C39" s="15" t="n"/>
      <c r="D39" s="14" t="n"/>
      <c r="E39" s="15" t="n"/>
      <c r="F39" s="12">
        <f>IF(A39="","",COUNTIF(Sales!$D$2:$D$501,A39))</f>
        <v/>
      </c>
      <c r="G39" s="13">
        <f>IF(A39="","",SUMIF(Sales!$D$2:$D$501,A39,Sales!$G$2:$G$501))</f>
        <v/>
      </c>
      <c r="H39" s="12">
        <f>IF(A39="","",IF(COUNTIF($A$2:$A$501,A39)&gt;1,"Duplicate client ID",IF(B39="","Add client name","OK")))</f>
        <v/>
      </c>
    </row>
    <row r="40" ht="23" customHeight="1">
      <c r="A40" s="9" t="n"/>
      <c r="B40" s="10" t="n"/>
      <c r="C40" s="10" t="n"/>
      <c r="D40" s="9" t="n"/>
      <c r="E40" s="10" t="n"/>
      <c r="F40" s="12">
        <f>IF(A40="","",COUNTIF(Sales!$D$2:$D$501,A40))</f>
        <v/>
      </c>
      <c r="G40" s="13">
        <f>IF(A40="","",SUMIF(Sales!$D$2:$D$501,A40,Sales!$G$2:$G$501))</f>
        <v/>
      </c>
      <c r="H40" s="12">
        <f>IF(A40="","",IF(COUNTIF($A$2:$A$501,A40)&gt;1,"Duplicate client ID",IF(B40="","Add client name","OK")))</f>
        <v/>
      </c>
    </row>
    <row r="41" ht="23" customHeight="1">
      <c r="A41" s="14" t="n"/>
      <c r="B41" s="15" t="n"/>
      <c r="C41" s="15" t="n"/>
      <c r="D41" s="14" t="n"/>
      <c r="E41" s="15" t="n"/>
      <c r="F41" s="12">
        <f>IF(A41="","",COUNTIF(Sales!$D$2:$D$501,A41))</f>
        <v/>
      </c>
      <c r="G41" s="13">
        <f>IF(A41="","",SUMIF(Sales!$D$2:$D$501,A41,Sales!$G$2:$G$501))</f>
        <v/>
      </c>
      <c r="H41" s="12">
        <f>IF(A41="","",IF(COUNTIF($A$2:$A$501,A41)&gt;1,"Duplicate client ID",IF(B41="","Add client name","OK")))</f>
        <v/>
      </c>
    </row>
    <row r="42" ht="23" customHeight="1">
      <c r="A42" s="9" t="n"/>
      <c r="B42" s="10" t="n"/>
      <c r="C42" s="10" t="n"/>
      <c r="D42" s="9" t="n"/>
      <c r="E42" s="10" t="n"/>
      <c r="F42" s="12">
        <f>IF(A42="","",COUNTIF(Sales!$D$2:$D$501,A42))</f>
        <v/>
      </c>
      <c r="G42" s="13">
        <f>IF(A42="","",SUMIF(Sales!$D$2:$D$501,A42,Sales!$G$2:$G$501))</f>
        <v/>
      </c>
      <c r="H42" s="12">
        <f>IF(A42="","",IF(COUNTIF($A$2:$A$501,A42)&gt;1,"Duplicate client ID",IF(B42="","Add client name","OK")))</f>
        <v/>
      </c>
    </row>
    <row r="43" ht="23" customHeight="1">
      <c r="A43" s="14" t="n"/>
      <c r="B43" s="15" t="n"/>
      <c r="C43" s="15" t="n"/>
      <c r="D43" s="14" t="n"/>
      <c r="E43" s="15" t="n"/>
      <c r="F43" s="12">
        <f>IF(A43="","",COUNTIF(Sales!$D$2:$D$501,A43))</f>
        <v/>
      </c>
      <c r="G43" s="13">
        <f>IF(A43="","",SUMIF(Sales!$D$2:$D$501,A43,Sales!$G$2:$G$501))</f>
        <v/>
      </c>
      <c r="H43" s="12">
        <f>IF(A43="","",IF(COUNTIF($A$2:$A$501,A43)&gt;1,"Duplicate client ID",IF(B43="","Add client name","OK")))</f>
        <v/>
      </c>
    </row>
    <row r="44" ht="23" customHeight="1">
      <c r="A44" s="9" t="n"/>
      <c r="B44" s="10" t="n"/>
      <c r="C44" s="10" t="n"/>
      <c r="D44" s="9" t="n"/>
      <c r="E44" s="10" t="n"/>
      <c r="F44" s="12">
        <f>IF(A44="","",COUNTIF(Sales!$D$2:$D$501,A44))</f>
        <v/>
      </c>
      <c r="G44" s="13">
        <f>IF(A44="","",SUMIF(Sales!$D$2:$D$501,A44,Sales!$G$2:$G$501))</f>
        <v/>
      </c>
      <c r="H44" s="12">
        <f>IF(A44="","",IF(COUNTIF($A$2:$A$501,A44)&gt;1,"Duplicate client ID",IF(B44="","Add client name","OK")))</f>
        <v/>
      </c>
    </row>
    <row r="45" ht="23" customHeight="1">
      <c r="A45" s="14" t="n"/>
      <c r="B45" s="15" t="n"/>
      <c r="C45" s="15" t="n"/>
      <c r="D45" s="14" t="n"/>
      <c r="E45" s="15" t="n"/>
      <c r="F45" s="12">
        <f>IF(A45="","",COUNTIF(Sales!$D$2:$D$501,A45))</f>
        <v/>
      </c>
      <c r="G45" s="13">
        <f>IF(A45="","",SUMIF(Sales!$D$2:$D$501,A45,Sales!$G$2:$G$501))</f>
        <v/>
      </c>
      <c r="H45" s="12">
        <f>IF(A45="","",IF(COUNTIF($A$2:$A$501,A45)&gt;1,"Duplicate client ID",IF(B45="","Add client name","OK")))</f>
        <v/>
      </c>
    </row>
    <row r="46" ht="23" customHeight="1">
      <c r="A46" s="9" t="n"/>
      <c r="B46" s="10" t="n"/>
      <c r="C46" s="10" t="n"/>
      <c r="D46" s="9" t="n"/>
      <c r="E46" s="10" t="n"/>
      <c r="F46" s="12">
        <f>IF(A46="","",COUNTIF(Sales!$D$2:$D$501,A46))</f>
        <v/>
      </c>
      <c r="G46" s="13">
        <f>IF(A46="","",SUMIF(Sales!$D$2:$D$501,A46,Sales!$G$2:$G$501))</f>
        <v/>
      </c>
      <c r="H46" s="12">
        <f>IF(A46="","",IF(COUNTIF($A$2:$A$501,A46)&gt;1,"Duplicate client ID",IF(B46="","Add client name","OK")))</f>
        <v/>
      </c>
    </row>
    <row r="47" ht="23" customHeight="1">
      <c r="A47" s="14" t="n"/>
      <c r="B47" s="15" t="n"/>
      <c r="C47" s="15" t="n"/>
      <c r="D47" s="14" t="n"/>
      <c r="E47" s="15" t="n"/>
      <c r="F47" s="12">
        <f>IF(A47="","",COUNTIF(Sales!$D$2:$D$501,A47))</f>
        <v/>
      </c>
      <c r="G47" s="13">
        <f>IF(A47="","",SUMIF(Sales!$D$2:$D$501,A47,Sales!$G$2:$G$501))</f>
        <v/>
      </c>
      <c r="H47" s="12">
        <f>IF(A47="","",IF(COUNTIF($A$2:$A$501,A47)&gt;1,"Duplicate client ID",IF(B47="","Add client name","OK")))</f>
        <v/>
      </c>
    </row>
    <row r="48" ht="23" customHeight="1">
      <c r="A48" s="9" t="n"/>
      <c r="B48" s="10" t="n"/>
      <c r="C48" s="10" t="n"/>
      <c r="D48" s="9" t="n"/>
      <c r="E48" s="10" t="n"/>
      <c r="F48" s="12">
        <f>IF(A48="","",COUNTIF(Sales!$D$2:$D$501,A48))</f>
        <v/>
      </c>
      <c r="G48" s="13">
        <f>IF(A48="","",SUMIF(Sales!$D$2:$D$501,A48,Sales!$G$2:$G$501))</f>
        <v/>
      </c>
      <c r="H48" s="12">
        <f>IF(A48="","",IF(COUNTIF($A$2:$A$501,A48)&gt;1,"Duplicate client ID",IF(B48="","Add client name","OK")))</f>
        <v/>
      </c>
    </row>
    <row r="49" ht="23" customHeight="1">
      <c r="A49" s="14" t="n"/>
      <c r="B49" s="15" t="n"/>
      <c r="C49" s="15" t="n"/>
      <c r="D49" s="14" t="n"/>
      <c r="E49" s="15" t="n"/>
      <c r="F49" s="12">
        <f>IF(A49="","",COUNTIF(Sales!$D$2:$D$501,A49))</f>
        <v/>
      </c>
      <c r="G49" s="13">
        <f>IF(A49="","",SUMIF(Sales!$D$2:$D$501,A49,Sales!$G$2:$G$501))</f>
        <v/>
      </c>
      <c r="H49" s="12">
        <f>IF(A49="","",IF(COUNTIF($A$2:$A$501,A49)&gt;1,"Duplicate client ID",IF(B49="","Add client name","OK")))</f>
        <v/>
      </c>
    </row>
    <row r="50" ht="23" customHeight="1">
      <c r="A50" s="9" t="n"/>
      <c r="B50" s="10" t="n"/>
      <c r="C50" s="10" t="n"/>
      <c r="D50" s="9" t="n"/>
      <c r="E50" s="10" t="n"/>
      <c r="F50" s="12">
        <f>IF(A50="","",COUNTIF(Sales!$D$2:$D$501,A50))</f>
        <v/>
      </c>
      <c r="G50" s="13">
        <f>IF(A50="","",SUMIF(Sales!$D$2:$D$501,A50,Sales!$G$2:$G$501))</f>
        <v/>
      </c>
      <c r="H50" s="12">
        <f>IF(A50="","",IF(COUNTIF($A$2:$A$501,A50)&gt;1,"Duplicate client ID",IF(B50="","Add client name","OK")))</f>
        <v/>
      </c>
    </row>
    <row r="51" ht="23" customHeight="1">
      <c r="A51" s="14" t="n"/>
      <c r="B51" s="15" t="n"/>
      <c r="C51" s="15" t="n"/>
      <c r="D51" s="14" t="n"/>
      <c r="E51" s="15" t="n"/>
      <c r="F51" s="12">
        <f>IF(A51="","",COUNTIF(Sales!$D$2:$D$501,A51))</f>
        <v/>
      </c>
      <c r="G51" s="13">
        <f>IF(A51="","",SUMIF(Sales!$D$2:$D$501,A51,Sales!$G$2:$G$501))</f>
        <v/>
      </c>
      <c r="H51" s="12">
        <f>IF(A51="","",IF(COUNTIF($A$2:$A$501,A51)&gt;1,"Duplicate client ID",IF(B51="","Add client name","OK")))</f>
        <v/>
      </c>
    </row>
    <row r="52" ht="23" customHeight="1">
      <c r="A52" s="9" t="n"/>
      <c r="B52" s="10" t="n"/>
      <c r="C52" s="10" t="n"/>
      <c r="D52" s="9" t="n"/>
      <c r="E52" s="10" t="n"/>
      <c r="F52" s="12">
        <f>IF(A52="","",COUNTIF(Sales!$D$2:$D$501,A52))</f>
        <v/>
      </c>
      <c r="G52" s="13">
        <f>IF(A52="","",SUMIF(Sales!$D$2:$D$501,A52,Sales!$G$2:$G$501))</f>
        <v/>
      </c>
      <c r="H52" s="12">
        <f>IF(A52="","",IF(COUNTIF($A$2:$A$501,A52)&gt;1,"Duplicate client ID",IF(B52="","Add client name","OK")))</f>
        <v/>
      </c>
    </row>
    <row r="53" ht="23" customHeight="1">
      <c r="A53" s="14" t="n"/>
      <c r="B53" s="15" t="n"/>
      <c r="C53" s="15" t="n"/>
      <c r="D53" s="14" t="n"/>
      <c r="E53" s="15" t="n"/>
      <c r="F53" s="12">
        <f>IF(A53="","",COUNTIF(Sales!$D$2:$D$501,A53))</f>
        <v/>
      </c>
      <c r="G53" s="13">
        <f>IF(A53="","",SUMIF(Sales!$D$2:$D$501,A53,Sales!$G$2:$G$501))</f>
        <v/>
      </c>
      <c r="H53" s="12">
        <f>IF(A53="","",IF(COUNTIF($A$2:$A$501,A53)&gt;1,"Duplicate client ID",IF(B53="","Add client name","OK")))</f>
        <v/>
      </c>
    </row>
    <row r="54" ht="23" customHeight="1">
      <c r="A54" s="9" t="n"/>
      <c r="B54" s="10" t="n"/>
      <c r="C54" s="10" t="n"/>
      <c r="D54" s="9" t="n"/>
      <c r="E54" s="10" t="n"/>
      <c r="F54" s="12">
        <f>IF(A54="","",COUNTIF(Sales!$D$2:$D$501,A54))</f>
        <v/>
      </c>
      <c r="G54" s="13">
        <f>IF(A54="","",SUMIF(Sales!$D$2:$D$501,A54,Sales!$G$2:$G$501))</f>
        <v/>
      </c>
      <c r="H54" s="12">
        <f>IF(A54="","",IF(COUNTIF($A$2:$A$501,A54)&gt;1,"Duplicate client ID",IF(B54="","Add client name","OK")))</f>
        <v/>
      </c>
    </row>
    <row r="55" ht="23" customHeight="1">
      <c r="A55" s="14" t="n"/>
      <c r="B55" s="15" t="n"/>
      <c r="C55" s="15" t="n"/>
      <c r="D55" s="14" t="n"/>
      <c r="E55" s="15" t="n"/>
      <c r="F55" s="12">
        <f>IF(A55="","",COUNTIF(Sales!$D$2:$D$501,A55))</f>
        <v/>
      </c>
      <c r="G55" s="13">
        <f>IF(A55="","",SUMIF(Sales!$D$2:$D$501,A55,Sales!$G$2:$G$501))</f>
        <v/>
      </c>
      <c r="H55" s="12">
        <f>IF(A55="","",IF(COUNTIF($A$2:$A$501,A55)&gt;1,"Duplicate client ID",IF(B55="","Add client name","OK")))</f>
        <v/>
      </c>
    </row>
    <row r="56" ht="23" customHeight="1">
      <c r="A56" s="9" t="n"/>
      <c r="B56" s="10" t="n"/>
      <c r="C56" s="10" t="n"/>
      <c r="D56" s="9" t="n"/>
      <c r="E56" s="10" t="n"/>
      <c r="F56" s="12">
        <f>IF(A56="","",COUNTIF(Sales!$D$2:$D$501,A56))</f>
        <v/>
      </c>
      <c r="G56" s="13">
        <f>IF(A56="","",SUMIF(Sales!$D$2:$D$501,A56,Sales!$G$2:$G$501))</f>
        <v/>
      </c>
      <c r="H56" s="12">
        <f>IF(A56="","",IF(COUNTIF($A$2:$A$501,A56)&gt;1,"Duplicate client ID",IF(B56="","Add client name","OK")))</f>
        <v/>
      </c>
    </row>
    <row r="57" ht="23" customHeight="1">
      <c r="A57" s="14" t="n"/>
      <c r="B57" s="15" t="n"/>
      <c r="C57" s="15" t="n"/>
      <c r="D57" s="14" t="n"/>
      <c r="E57" s="15" t="n"/>
      <c r="F57" s="12">
        <f>IF(A57="","",COUNTIF(Sales!$D$2:$D$501,A57))</f>
        <v/>
      </c>
      <c r="G57" s="13">
        <f>IF(A57="","",SUMIF(Sales!$D$2:$D$501,A57,Sales!$G$2:$G$501))</f>
        <v/>
      </c>
      <c r="H57" s="12">
        <f>IF(A57="","",IF(COUNTIF($A$2:$A$501,A57)&gt;1,"Duplicate client ID",IF(B57="","Add client name","OK")))</f>
        <v/>
      </c>
    </row>
    <row r="58" ht="23" customHeight="1">
      <c r="A58" s="9" t="n"/>
      <c r="B58" s="10" t="n"/>
      <c r="C58" s="10" t="n"/>
      <c r="D58" s="9" t="n"/>
      <c r="E58" s="10" t="n"/>
      <c r="F58" s="12">
        <f>IF(A58="","",COUNTIF(Sales!$D$2:$D$501,A58))</f>
        <v/>
      </c>
      <c r="G58" s="13">
        <f>IF(A58="","",SUMIF(Sales!$D$2:$D$501,A58,Sales!$G$2:$G$501))</f>
        <v/>
      </c>
      <c r="H58" s="12">
        <f>IF(A58="","",IF(COUNTIF($A$2:$A$501,A58)&gt;1,"Duplicate client ID",IF(B58="","Add client name","OK")))</f>
        <v/>
      </c>
    </row>
    <row r="59" ht="23" customHeight="1">
      <c r="A59" s="14" t="n"/>
      <c r="B59" s="15" t="n"/>
      <c r="C59" s="15" t="n"/>
      <c r="D59" s="14" t="n"/>
      <c r="E59" s="15" t="n"/>
      <c r="F59" s="12">
        <f>IF(A59="","",COUNTIF(Sales!$D$2:$D$501,A59))</f>
        <v/>
      </c>
      <c r="G59" s="13">
        <f>IF(A59="","",SUMIF(Sales!$D$2:$D$501,A59,Sales!$G$2:$G$501))</f>
        <v/>
      </c>
      <c r="H59" s="12">
        <f>IF(A59="","",IF(COUNTIF($A$2:$A$501,A59)&gt;1,"Duplicate client ID",IF(B59="","Add client name","OK")))</f>
        <v/>
      </c>
    </row>
    <row r="60" ht="23" customHeight="1">
      <c r="A60" s="9" t="n"/>
      <c r="B60" s="10" t="n"/>
      <c r="C60" s="10" t="n"/>
      <c r="D60" s="9" t="n"/>
      <c r="E60" s="10" t="n"/>
      <c r="F60" s="12">
        <f>IF(A60="","",COUNTIF(Sales!$D$2:$D$501,A60))</f>
        <v/>
      </c>
      <c r="G60" s="13">
        <f>IF(A60="","",SUMIF(Sales!$D$2:$D$501,A60,Sales!$G$2:$G$501))</f>
        <v/>
      </c>
      <c r="H60" s="12">
        <f>IF(A60="","",IF(COUNTIF($A$2:$A$501,A60)&gt;1,"Duplicate client ID",IF(B60="","Add client name","OK")))</f>
        <v/>
      </c>
    </row>
    <row r="61" ht="23" customHeight="1">
      <c r="A61" s="14" t="n"/>
      <c r="B61" s="15" t="n"/>
      <c r="C61" s="15" t="n"/>
      <c r="D61" s="14" t="n"/>
      <c r="E61" s="15" t="n"/>
      <c r="F61" s="12">
        <f>IF(A61="","",COUNTIF(Sales!$D$2:$D$501,A61))</f>
        <v/>
      </c>
      <c r="G61" s="13">
        <f>IF(A61="","",SUMIF(Sales!$D$2:$D$501,A61,Sales!$G$2:$G$501))</f>
        <v/>
      </c>
      <c r="H61" s="12">
        <f>IF(A61="","",IF(COUNTIF($A$2:$A$501,A61)&gt;1,"Duplicate client ID",IF(B61="","Add client name","OK")))</f>
        <v/>
      </c>
    </row>
    <row r="62" ht="23" customHeight="1">
      <c r="A62" s="9" t="n"/>
      <c r="B62" s="10" t="n"/>
      <c r="C62" s="10" t="n"/>
      <c r="D62" s="9" t="n"/>
      <c r="E62" s="10" t="n"/>
      <c r="F62" s="12">
        <f>IF(A62="","",COUNTIF(Sales!$D$2:$D$501,A62))</f>
        <v/>
      </c>
      <c r="G62" s="13">
        <f>IF(A62="","",SUMIF(Sales!$D$2:$D$501,A62,Sales!$G$2:$G$501))</f>
        <v/>
      </c>
      <c r="H62" s="12">
        <f>IF(A62="","",IF(COUNTIF($A$2:$A$501,A62)&gt;1,"Duplicate client ID",IF(B62="","Add client name","OK")))</f>
        <v/>
      </c>
    </row>
    <row r="63" ht="23" customHeight="1">
      <c r="A63" s="14" t="n"/>
      <c r="B63" s="15" t="n"/>
      <c r="C63" s="15" t="n"/>
      <c r="D63" s="14" t="n"/>
      <c r="E63" s="15" t="n"/>
      <c r="F63" s="12">
        <f>IF(A63="","",COUNTIF(Sales!$D$2:$D$501,A63))</f>
        <v/>
      </c>
      <c r="G63" s="13">
        <f>IF(A63="","",SUMIF(Sales!$D$2:$D$501,A63,Sales!$G$2:$G$501))</f>
        <v/>
      </c>
      <c r="H63" s="12">
        <f>IF(A63="","",IF(COUNTIF($A$2:$A$501,A63)&gt;1,"Duplicate client ID",IF(B63="","Add client name","OK")))</f>
        <v/>
      </c>
    </row>
    <row r="64" ht="23" customHeight="1">
      <c r="A64" s="9" t="n"/>
      <c r="B64" s="10" t="n"/>
      <c r="C64" s="10" t="n"/>
      <c r="D64" s="9" t="n"/>
      <c r="E64" s="10" t="n"/>
      <c r="F64" s="12">
        <f>IF(A64="","",COUNTIF(Sales!$D$2:$D$501,A64))</f>
        <v/>
      </c>
      <c r="G64" s="13">
        <f>IF(A64="","",SUMIF(Sales!$D$2:$D$501,A64,Sales!$G$2:$G$501))</f>
        <v/>
      </c>
      <c r="H64" s="12">
        <f>IF(A64="","",IF(COUNTIF($A$2:$A$501,A64)&gt;1,"Duplicate client ID",IF(B64="","Add client name","OK")))</f>
        <v/>
      </c>
    </row>
    <row r="65" ht="23" customHeight="1">
      <c r="A65" s="14" t="n"/>
      <c r="B65" s="15" t="n"/>
      <c r="C65" s="15" t="n"/>
      <c r="D65" s="14" t="n"/>
      <c r="E65" s="15" t="n"/>
      <c r="F65" s="12">
        <f>IF(A65="","",COUNTIF(Sales!$D$2:$D$501,A65))</f>
        <v/>
      </c>
      <c r="G65" s="13">
        <f>IF(A65="","",SUMIF(Sales!$D$2:$D$501,A65,Sales!$G$2:$G$501))</f>
        <v/>
      </c>
      <c r="H65" s="12">
        <f>IF(A65="","",IF(COUNTIF($A$2:$A$501,A65)&gt;1,"Duplicate client ID",IF(B65="","Add client name","OK")))</f>
        <v/>
      </c>
    </row>
    <row r="66" ht="23" customHeight="1">
      <c r="A66" s="9" t="n"/>
      <c r="B66" s="10" t="n"/>
      <c r="C66" s="10" t="n"/>
      <c r="D66" s="9" t="n"/>
      <c r="E66" s="10" t="n"/>
      <c r="F66" s="12">
        <f>IF(A66="","",COUNTIF(Sales!$D$2:$D$501,A66))</f>
        <v/>
      </c>
      <c r="G66" s="13">
        <f>IF(A66="","",SUMIF(Sales!$D$2:$D$501,A66,Sales!$G$2:$G$501))</f>
        <v/>
      </c>
      <c r="H66" s="12">
        <f>IF(A66="","",IF(COUNTIF($A$2:$A$501,A66)&gt;1,"Duplicate client ID",IF(B66="","Add client name","OK")))</f>
        <v/>
      </c>
    </row>
    <row r="67" ht="23" customHeight="1">
      <c r="A67" s="14" t="n"/>
      <c r="B67" s="15" t="n"/>
      <c r="C67" s="15" t="n"/>
      <c r="D67" s="14" t="n"/>
      <c r="E67" s="15" t="n"/>
      <c r="F67" s="12">
        <f>IF(A67="","",COUNTIF(Sales!$D$2:$D$501,A67))</f>
        <v/>
      </c>
      <c r="G67" s="13">
        <f>IF(A67="","",SUMIF(Sales!$D$2:$D$501,A67,Sales!$G$2:$G$501))</f>
        <v/>
      </c>
      <c r="H67" s="12">
        <f>IF(A67="","",IF(COUNTIF($A$2:$A$501,A67)&gt;1,"Duplicate client ID",IF(B67="","Add client name","OK")))</f>
        <v/>
      </c>
    </row>
    <row r="68" ht="23" customHeight="1">
      <c r="A68" s="9" t="n"/>
      <c r="B68" s="10" t="n"/>
      <c r="C68" s="10" t="n"/>
      <c r="D68" s="9" t="n"/>
      <c r="E68" s="10" t="n"/>
      <c r="F68" s="12">
        <f>IF(A68="","",COUNTIF(Sales!$D$2:$D$501,A68))</f>
        <v/>
      </c>
      <c r="G68" s="13">
        <f>IF(A68="","",SUMIF(Sales!$D$2:$D$501,A68,Sales!$G$2:$G$501))</f>
        <v/>
      </c>
      <c r="H68" s="12">
        <f>IF(A68="","",IF(COUNTIF($A$2:$A$501,A68)&gt;1,"Duplicate client ID",IF(B68="","Add client name","OK")))</f>
        <v/>
      </c>
    </row>
    <row r="69" ht="23" customHeight="1">
      <c r="A69" s="14" t="n"/>
      <c r="B69" s="15" t="n"/>
      <c r="C69" s="15" t="n"/>
      <c r="D69" s="14" t="n"/>
      <c r="E69" s="15" t="n"/>
      <c r="F69" s="12">
        <f>IF(A69="","",COUNTIF(Sales!$D$2:$D$501,A69))</f>
        <v/>
      </c>
      <c r="G69" s="13">
        <f>IF(A69="","",SUMIF(Sales!$D$2:$D$501,A69,Sales!$G$2:$G$501))</f>
        <v/>
      </c>
      <c r="H69" s="12">
        <f>IF(A69="","",IF(COUNTIF($A$2:$A$501,A69)&gt;1,"Duplicate client ID",IF(B69="","Add client name","OK")))</f>
        <v/>
      </c>
    </row>
    <row r="70" ht="23" customHeight="1">
      <c r="A70" s="9" t="n"/>
      <c r="B70" s="10" t="n"/>
      <c r="C70" s="10" t="n"/>
      <c r="D70" s="9" t="n"/>
      <c r="E70" s="10" t="n"/>
      <c r="F70" s="12">
        <f>IF(A70="","",COUNTIF(Sales!$D$2:$D$501,A70))</f>
        <v/>
      </c>
      <c r="G70" s="13">
        <f>IF(A70="","",SUMIF(Sales!$D$2:$D$501,A70,Sales!$G$2:$G$501))</f>
        <v/>
      </c>
      <c r="H70" s="12">
        <f>IF(A70="","",IF(COUNTIF($A$2:$A$501,A70)&gt;1,"Duplicate client ID",IF(B70="","Add client name","OK")))</f>
        <v/>
      </c>
    </row>
    <row r="71" ht="23" customHeight="1">
      <c r="A71" s="14" t="n"/>
      <c r="B71" s="15" t="n"/>
      <c r="C71" s="15" t="n"/>
      <c r="D71" s="14" t="n"/>
      <c r="E71" s="15" t="n"/>
      <c r="F71" s="12">
        <f>IF(A71="","",COUNTIF(Sales!$D$2:$D$501,A71))</f>
        <v/>
      </c>
      <c r="G71" s="13">
        <f>IF(A71="","",SUMIF(Sales!$D$2:$D$501,A71,Sales!$G$2:$G$501))</f>
        <v/>
      </c>
      <c r="H71" s="12">
        <f>IF(A71="","",IF(COUNTIF($A$2:$A$501,A71)&gt;1,"Duplicate client ID",IF(B71="","Add client name","OK")))</f>
        <v/>
      </c>
    </row>
    <row r="72" ht="23" customHeight="1">
      <c r="A72" s="9" t="n"/>
      <c r="B72" s="10" t="n"/>
      <c r="C72" s="10" t="n"/>
      <c r="D72" s="9" t="n"/>
      <c r="E72" s="10" t="n"/>
      <c r="F72" s="12">
        <f>IF(A72="","",COUNTIF(Sales!$D$2:$D$501,A72))</f>
        <v/>
      </c>
      <c r="G72" s="13">
        <f>IF(A72="","",SUMIF(Sales!$D$2:$D$501,A72,Sales!$G$2:$G$501))</f>
        <v/>
      </c>
      <c r="H72" s="12">
        <f>IF(A72="","",IF(COUNTIF($A$2:$A$501,A72)&gt;1,"Duplicate client ID",IF(B72="","Add client name","OK")))</f>
        <v/>
      </c>
    </row>
    <row r="73" ht="23" customHeight="1">
      <c r="A73" s="14" t="n"/>
      <c r="B73" s="15" t="n"/>
      <c r="C73" s="15" t="n"/>
      <c r="D73" s="14" t="n"/>
      <c r="E73" s="15" t="n"/>
      <c r="F73" s="12">
        <f>IF(A73="","",COUNTIF(Sales!$D$2:$D$501,A73))</f>
        <v/>
      </c>
      <c r="G73" s="13">
        <f>IF(A73="","",SUMIF(Sales!$D$2:$D$501,A73,Sales!$G$2:$G$501))</f>
        <v/>
      </c>
      <c r="H73" s="12">
        <f>IF(A73="","",IF(COUNTIF($A$2:$A$501,A73)&gt;1,"Duplicate client ID",IF(B73="","Add client name","OK")))</f>
        <v/>
      </c>
    </row>
    <row r="74" ht="23" customHeight="1">
      <c r="A74" s="9" t="n"/>
      <c r="B74" s="10" t="n"/>
      <c r="C74" s="10" t="n"/>
      <c r="D74" s="9" t="n"/>
      <c r="E74" s="10" t="n"/>
      <c r="F74" s="12">
        <f>IF(A74="","",COUNTIF(Sales!$D$2:$D$501,A74))</f>
        <v/>
      </c>
      <c r="G74" s="13">
        <f>IF(A74="","",SUMIF(Sales!$D$2:$D$501,A74,Sales!$G$2:$G$501))</f>
        <v/>
      </c>
      <c r="H74" s="12">
        <f>IF(A74="","",IF(COUNTIF($A$2:$A$501,A74)&gt;1,"Duplicate client ID",IF(B74="","Add client name","OK")))</f>
        <v/>
      </c>
    </row>
    <row r="75" ht="23" customHeight="1">
      <c r="A75" s="14" t="n"/>
      <c r="B75" s="15" t="n"/>
      <c r="C75" s="15" t="n"/>
      <c r="D75" s="14" t="n"/>
      <c r="E75" s="15" t="n"/>
      <c r="F75" s="12">
        <f>IF(A75="","",COUNTIF(Sales!$D$2:$D$501,A75))</f>
        <v/>
      </c>
      <c r="G75" s="13">
        <f>IF(A75="","",SUMIF(Sales!$D$2:$D$501,A75,Sales!$G$2:$G$501))</f>
        <v/>
      </c>
      <c r="H75" s="12">
        <f>IF(A75="","",IF(COUNTIF($A$2:$A$501,A75)&gt;1,"Duplicate client ID",IF(B75="","Add client name","OK")))</f>
        <v/>
      </c>
    </row>
    <row r="76" ht="23" customHeight="1">
      <c r="A76" s="9" t="n"/>
      <c r="B76" s="10" t="n"/>
      <c r="C76" s="10" t="n"/>
      <c r="D76" s="9" t="n"/>
      <c r="E76" s="10" t="n"/>
      <c r="F76" s="12">
        <f>IF(A76="","",COUNTIF(Sales!$D$2:$D$501,A76))</f>
        <v/>
      </c>
      <c r="G76" s="13">
        <f>IF(A76="","",SUMIF(Sales!$D$2:$D$501,A76,Sales!$G$2:$G$501))</f>
        <v/>
      </c>
      <c r="H76" s="12">
        <f>IF(A76="","",IF(COUNTIF($A$2:$A$501,A76)&gt;1,"Duplicate client ID",IF(B76="","Add client name","OK")))</f>
        <v/>
      </c>
    </row>
    <row r="77" ht="23" customHeight="1">
      <c r="A77" s="14" t="n"/>
      <c r="B77" s="15" t="n"/>
      <c r="C77" s="15" t="n"/>
      <c r="D77" s="14" t="n"/>
      <c r="E77" s="15" t="n"/>
      <c r="F77" s="12">
        <f>IF(A77="","",COUNTIF(Sales!$D$2:$D$501,A77))</f>
        <v/>
      </c>
      <c r="G77" s="13">
        <f>IF(A77="","",SUMIF(Sales!$D$2:$D$501,A77,Sales!$G$2:$G$501))</f>
        <v/>
      </c>
      <c r="H77" s="12">
        <f>IF(A77="","",IF(COUNTIF($A$2:$A$501,A77)&gt;1,"Duplicate client ID",IF(B77="","Add client name","OK")))</f>
        <v/>
      </c>
    </row>
    <row r="78" ht="23" customHeight="1">
      <c r="A78" s="9" t="n"/>
      <c r="B78" s="10" t="n"/>
      <c r="C78" s="10" t="n"/>
      <c r="D78" s="9" t="n"/>
      <c r="E78" s="10" t="n"/>
      <c r="F78" s="12">
        <f>IF(A78="","",COUNTIF(Sales!$D$2:$D$501,A78))</f>
        <v/>
      </c>
      <c r="G78" s="13">
        <f>IF(A78="","",SUMIF(Sales!$D$2:$D$501,A78,Sales!$G$2:$G$501))</f>
        <v/>
      </c>
      <c r="H78" s="12">
        <f>IF(A78="","",IF(COUNTIF($A$2:$A$501,A78)&gt;1,"Duplicate client ID",IF(B78="","Add client name","OK")))</f>
        <v/>
      </c>
    </row>
    <row r="79" ht="23" customHeight="1">
      <c r="A79" s="14" t="n"/>
      <c r="B79" s="15" t="n"/>
      <c r="C79" s="15" t="n"/>
      <c r="D79" s="14" t="n"/>
      <c r="E79" s="15" t="n"/>
      <c r="F79" s="12">
        <f>IF(A79="","",COUNTIF(Sales!$D$2:$D$501,A79))</f>
        <v/>
      </c>
      <c r="G79" s="13">
        <f>IF(A79="","",SUMIF(Sales!$D$2:$D$501,A79,Sales!$G$2:$G$501))</f>
        <v/>
      </c>
      <c r="H79" s="12">
        <f>IF(A79="","",IF(COUNTIF($A$2:$A$501,A79)&gt;1,"Duplicate client ID",IF(B79="","Add client name","OK")))</f>
        <v/>
      </c>
    </row>
    <row r="80" ht="23" customHeight="1">
      <c r="A80" s="9" t="n"/>
      <c r="B80" s="10" t="n"/>
      <c r="C80" s="10" t="n"/>
      <c r="D80" s="9" t="n"/>
      <c r="E80" s="10" t="n"/>
      <c r="F80" s="12">
        <f>IF(A80="","",COUNTIF(Sales!$D$2:$D$501,A80))</f>
        <v/>
      </c>
      <c r="G80" s="13">
        <f>IF(A80="","",SUMIF(Sales!$D$2:$D$501,A80,Sales!$G$2:$G$501))</f>
        <v/>
      </c>
      <c r="H80" s="12">
        <f>IF(A80="","",IF(COUNTIF($A$2:$A$501,A80)&gt;1,"Duplicate client ID",IF(B80="","Add client name","OK")))</f>
        <v/>
      </c>
    </row>
    <row r="81" ht="23" customHeight="1">
      <c r="A81" s="14" t="n"/>
      <c r="B81" s="15" t="n"/>
      <c r="C81" s="15" t="n"/>
      <c r="D81" s="14" t="n"/>
      <c r="E81" s="15" t="n"/>
      <c r="F81" s="12">
        <f>IF(A81="","",COUNTIF(Sales!$D$2:$D$501,A81))</f>
        <v/>
      </c>
      <c r="G81" s="13">
        <f>IF(A81="","",SUMIF(Sales!$D$2:$D$501,A81,Sales!$G$2:$G$501))</f>
        <v/>
      </c>
      <c r="H81" s="12">
        <f>IF(A81="","",IF(COUNTIF($A$2:$A$501,A81)&gt;1,"Duplicate client ID",IF(B81="","Add client name","OK")))</f>
        <v/>
      </c>
    </row>
    <row r="82" ht="23" customHeight="1">
      <c r="A82" s="9" t="n"/>
      <c r="B82" s="10" t="n"/>
      <c r="C82" s="10" t="n"/>
      <c r="D82" s="9" t="n"/>
      <c r="E82" s="10" t="n"/>
      <c r="F82" s="12">
        <f>IF(A82="","",COUNTIF(Sales!$D$2:$D$501,A82))</f>
        <v/>
      </c>
      <c r="G82" s="13">
        <f>IF(A82="","",SUMIF(Sales!$D$2:$D$501,A82,Sales!$G$2:$G$501))</f>
        <v/>
      </c>
      <c r="H82" s="12">
        <f>IF(A82="","",IF(COUNTIF($A$2:$A$501,A82)&gt;1,"Duplicate client ID",IF(B82="","Add client name","OK")))</f>
        <v/>
      </c>
    </row>
    <row r="83" ht="23" customHeight="1">
      <c r="A83" s="14" t="n"/>
      <c r="B83" s="15" t="n"/>
      <c r="C83" s="15" t="n"/>
      <c r="D83" s="14" t="n"/>
      <c r="E83" s="15" t="n"/>
      <c r="F83" s="12">
        <f>IF(A83="","",COUNTIF(Sales!$D$2:$D$501,A83))</f>
        <v/>
      </c>
      <c r="G83" s="13">
        <f>IF(A83="","",SUMIF(Sales!$D$2:$D$501,A83,Sales!$G$2:$G$501))</f>
        <v/>
      </c>
      <c r="H83" s="12">
        <f>IF(A83="","",IF(COUNTIF($A$2:$A$501,A83)&gt;1,"Duplicate client ID",IF(B83="","Add client name","OK")))</f>
        <v/>
      </c>
    </row>
    <row r="84" ht="23" customHeight="1">
      <c r="A84" s="9" t="n"/>
      <c r="B84" s="10" t="n"/>
      <c r="C84" s="10" t="n"/>
      <c r="D84" s="9" t="n"/>
      <c r="E84" s="10" t="n"/>
      <c r="F84" s="12">
        <f>IF(A84="","",COUNTIF(Sales!$D$2:$D$501,A84))</f>
        <v/>
      </c>
      <c r="G84" s="13">
        <f>IF(A84="","",SUMIF(Sales!$D$2:$D$501,A84,Sales!$G$2:$G$501))</f>
        <v/>
      </c>
      <c r="H84" s="12">
        <f>IF(A84="","",IF(COUNTIF($A$2:$A$501,A84)&gt;1,"Duplicate client ID",IF(B84="","Add client name","OK")))</f>
        <v/>
      </c>
    </row>
    <row r="85" ht="23" customHeight="1">
      <c r="A85" s="14" t="n"/>
      <c r="B85" s="15" t="n"/>
      <c r="C85" s="15" t="n"/>
      <c r="D85" s="14" t="n"/>
      <c r="E85" s="15" t="n"/>
      <c r="F85" s="12">
        <f>IF(A85="","",COUNTIF(Sales!$D$2:$D$501,A85))</f>
        <v/>
      </c>
      <c r="G85" s="13">
        <f>IF(A85="","",SUMIF(Sales!$D$2:$D$501,A85,Sales!$G$2:$G$501))</f>
        <v/>
      </c>
      <c r="H85" s="12">
        <f>IF(A85="","",IF(COUNTIF($A$2:$A$501,A85)&gt;1,"Duplicate client ID",IF(B85="","Add client name","OK")))</f>
        <v/>
      </c>
    </row>
    <row r="86" ht="23" customHeight="1">
      <c r="A86" s="9" t="n"/>
      <c r="B86" s="10" t="n"/>
      <c r="C86" s="10" t="n"/>
      <c r="D86" s="9" t="n"/>
      <c r="E86" s="10" t="n"/>
      <c r="F86" s="12">
        <f>IF(A86="","",COUNTIF(Sales!$D$2:$D$501,A86))</f>
        <v/>
      </c>
      <c r="G86" s="13">
        <f>IF(A86="","",SUMIF(Sales!$D$2:$D$501,A86,Sales!$G$2:$G$501))</f>
        <v/>
      </c>
      <c r="H86" s="12">
        <f>IF(A86="","",IF(COUNTIF($A$2:$A$501,A86)&gt;1,"Duplicate client ID",IF(B86="","Add client name","OK")))</f>
        <v/>
      </c>
    </row>
    <row r="87" ht="23" customHeight="1">
      <c r="A87" s="14" t="n"/>
      <c r="B87" s="15" t="n"/>
      <c r="C87" s="15" t="n"/>
      <c r="D87" s="14" t="n"/>
      <c r="E87" s="15" t="n"/>
      <c r="F87" s="12">
        <f>IF(A87="","",COUNTIF(Sales!$D$2:$D$501,A87))</f>
        <v/>
      </c>
      <c r="G87" s="13">
        <f>IF(A87="","",SUMIF(Sales!$D$2:$D$501,A87,Sales!$G$2:$G$501))</f>
        <v/>
      </c>
      <c r="H87" s="12">
        <f>IF(A87="","",IF(COUNTIF($A$2:$A$501,A87)&gt;1,"Duplicate client ID",IF(B87="","Add client name","OK")))</f>
        <v/>
      </c>
    </row>
    <row r="88" ht="23" customHeight="1">
      <c r="A88" s="9" t="n"/>
      <c r="B88" s="10" t="n"/>
      <c r="C88" s="10" t="n"/>
      <c r="D88" s="9" t="n"/>
      <c r="E88" s="10" t="n"/>
      <c r="F88" s="12">
        <f>IF(A88="","",COUNTIF(Sales!$D$2:$D$501,A88))</f>
        <v/>
      </c>
      <c r="G88" s="13">
        <f>IF(A88="","",SUMIF(Sales!$D$2:$D$501,A88,Sales!$G$2:$G$501))</f>
        <v/>
      </c>
      <c r="H88" s="12">
        <f>IF(A88="","",IF(COUNTIF($A$2:$A$501,A88)&gt;1,"Duplicate client ID",IF(B88="","Add client name","OK")))</f>
        <v/>
      </c>
    </row>
    <row r="89" ht="23" customHeight="1">
      <c r="A89" s="14" t="n"/>
      <c r="B89" s="15" t="n"/>
      <c r="C89" s="15" t="n"/>
      <c r="D89" s="14" t="n"/>
      <c r="E89" s="15" t="n"/>
      <c r="F89" s="12">
        <f>IF(A89="","",COUNTIF(Sales!$D$2:$D$501,A89))</f>
        <v/>
      </c>
      <c r="G89" s="13">
        <f>IF(A89="","",SUMIF(Sales!$D$2:$D$501,A89,Sales!$G$2:$G$501))</f>
        <v/>
      </c>
      <c r="H89" s="12">
        <f>IF(A89="","",IF(COUNTIF($A$2:$A$501,A89)&gt;1,"Duplicate client ID",IF(B89="","Add client name","OK")))</f>
        <v/>
      </c>
    </row>
    <row r="90" ht="23" customHeight="1">
      <c r="A90" s="9" t="n"/>
      <c r="B90" s="10" t="n"/>
      <c r="C90" s="10" t="n"/>
      <c r="D90" s="9" t="n"/>
      <c r="E90" s="10" t="n"/>
      <c r="F90" s="12">
        <f>IF(A90="","",COUNTIF(Sales!$D$2:$D$501,A90))</f>
        <v/>
      </c>
      <c r="G90" s="13">
        <f>IF(A90="","",SUMIF(Sales!$D$2:$D$501,A90,Sales!$G$2:$G$501))</f>
        <v/>
      </c>
      <c r="H90" s="12">
        <f>IF(A90="","",IF(COUNTIF($A$2:$A$501,A90)&gt;1,"Duplicate client ID",IF(B90="","Add client name","OK")))</f>
        <v/>
      </c>
    </row>
    <row r="91" ht="23" customHeight="1">
      <c r="A91" s="14" t="n"/>
      <c r="B91" s="15" t="n"/>
      <c r="C91" s="15" t="n"/>
      <c r="D91" s="14" t="n"/>
      <c r="E91" s="15" t="n"/>
      <c r="F91" s="12">
        <f>IF(A91="","",COUNTIF(Sales!$D$2:$D$501,A91))</f>
        <v/>
      </c>
      <c r="G91" s="13">
        <f>IF(A91="","",SUMIF(Sales!$D$2:$D$501,A91,Sales!$G$2:$G$501))</f>
        <v/>
      </c>
      <c r="H91" s="12">
        <f>IF(A91="","",IF(COUNTIF($A$2:$A$501,A91)&gt;1,"Duplicate client ID",IF(B91="","Add client name","OK")))</f>
        <v/>
      </c>
    </row>
    <row r="92" ht="23" customHeight="1">
      <c r="A92" s="9" t="n"/>
      <c r="B92" s="10" t="n"/>
      <c r="C92" s="10" t="n"/>
      <c r="D92" s="9" t="n"/>
      <c r="E92" s="10" t="n"/>
      <c r="F92" s="12">
        <f>IF(A92="","",COUNTIF(Sales!$D$2:$D$501,A92))</f>
        <v/>
      </c>
      <c r="G92" s="13">
        <f>IF(A92="","",SUMIF(Sales!$D$2:$D$501,A92,Sales!$G$2:$G$501))</f>
        <v/>
      </c>
      <c r="H92" s="12">
        <f>IF(A92="","",IF(COUNTIF($A$2:$A$501,A92)&gt;1,"Duplicate client ID",IF(B92="","Add client name","OK")))</f>
        <v/>
      </c>
    </row>
    <row r="93" ht="23" customHeight="1">
      <c r="A93" s="14" t="n"/>
      <c r="B93" s="15" t="n"/>
      <c r="C93" s="15" t="n"/>
      <c r="D93" s="14" t="n"/>
      <c r="E93" s="15" t="n"/>
      <c r="F93" s="12">
        <f>IF(A93="","",COUNTIF(Sales!$D$2:$D$501,A93))</f>
        <v/>
      </c>
      <c r="G93" s="13">
        <f>IF(A93="","",SUMIF(Sales!$D$2:$D$501,A93,Sales!$G$2:$G$501))</f>
        <v/>
      </c>
      <c r="H93" s="12">
        <f>IF(A93="","",IF(COUNTIF($A$2:$A$501,A93)&gt;1,"Duplicate client ID",IF(B93="","Add client name","OK")))</f>
        <v/>
      </c>
    </row>
    <row r="94" ht="23" customHeight="1">
      <c r="A94" s="9" t="n"/>
      <c r="B94" s="10" t="n"/>
      <c r="C94" s="10" t="n"/>
      <c r="D94" s="9" t="n"/>
      <c r="E94" s="10" t="n"/>
      <c r="F94" s="12">
        <f>IF(A94="","",COUNTIF(Sales!$D$2:$D$501,A94))</f>
        <v/>
      </c>
      <c r="G94" s="13">
        <f>IF(A94="","",SUMIF(Sales!$D$2:$D$501,A94,Sales!$G$2:$G$501))</f>
        <v/>
      </c>
      <c r="H94" s="12">
        <f>IF(A94="","",IF(COUNTIF($A$2:$A$501,A94)&gt;1,"Duplicate client ID",IF(B94="","Add client name","OK")))</f>
        <v/>
      </c>
    </row>
    <row r="95" ht="23" customHeight="1">
      <c r="A95" s="14" t="n"/>
      <c r="B95" s="15" t="n"/>
      <c r="C95" s="15" t="n"/>
      <c r="D95" s="14" t="n"/>
      <c r="E95" s="15" t="n"/>
      <c r="F95" s="12">
        <f>IF(A95="","",COUNTIF(Sales!$D$2:$D$501,A95))</f>
        <v/>
      </c>
      <c r="G95" s="13">
        <f>IF(A95="","",SUMIF(Sales!$D$2:$D$501,A95,Sales!$G$2:$G$501))</f>
        <v/>
      </c>
      <c r="H95" s="12">
        <f>IF(A95="","",IF(COUNTIF($A$2:$A$501,A95)&gt;1,"Duplicate client ID",IF(B95="","Add client name","OK")))</f>
        <v/>
      </c>
    </row>
    <row r="96" ht="23" customHeight="1">
      <c r="A96" s="9" t="n"/>
      <c r="B96" s="10" t="n"/>
      <c r="C96" s="10" t="n"/>
      <c r="D96" s="9" t="n"/>
      <c r="E96" s="10" t="n"/>
      <c r="F96" s="12">
        <f>IF(A96="","",COUNTIF(Sales!$D$2:$D$501,A96))</f>
        <v/>
      </c>
      <c r="G96" s="13">
        <f>IF(A96="","",SUMIF(Sales!$D$2:$D$501,A96,Sales!$G$2:$G$501))</f>
        <v/>
      </c>
      <c r="H96" s="12">
        <f>IF(A96="","",IF(COUNTIF($A$2:$A$501,A96)&gt;1,"Duplicate client ID",IF(B96="","Add client name","OK")))</f>
        <v/>
      </c>
    </row>
    <row r="97" ht="23" customHeight="1">
      <c r="A97" s="14" t="n"/>
      <c r="B97" s="15" t="n"/>
      <c r="C97" s="15" t="n"/>
      <c r="D97" s="14" t="n"/>
      <c r="E97" s="15" t="n"/>
      <c r="F97" s="12">
        <f>IF(A97="","",COUNTIF(Sales!$D$2:$D$501,A97))</f>
        <v/>
      </c>
      <c r="G97" s="13">
        <f>IF(A97="","",SUMIF(Sales!$D$2:$D$501,A97,Sales!$G$2:$G$501))</f>
        <v/>
      </c>
      <c r="H97" s="12">
        <f>IF(A97="","",IF(COUNTIF($A$2:$A$501,A97)&gt;1,"Duplicate client ID",IF(B97="","Add client name","OK")))</f>
        <v/>
      </c>
    </row>
    <row r="98" ht="23" customHeight="1">
      <c r="A98" s="9" t="n"/>
      <c r="B98" s="10" t="n"/>
      <c r="C98" s="10" t="n"/>
      <c r="D98" s="9" t="n"/>
      <c r="E98" s="10" t="n"/>
      <c r="F98" s="12">
        <f>IF(A98="","",COUNTIF(Sales!$D$2:$D$501,A98))</f>
        <v/>
      </c>
      <c r="G98" s="13">
        <f>IF(A98="","",SUMIF(Sales!$D$2:$D$501,A98,Sales!$G$2:$G$501))</f>
        <v/>
      </c>
      <c r="H98" s="12">
        <f>IF(A98="","",IF(COUNTIF($A$2:$A$501,A98)&gt;1,"Duplicate client ID",IF(B98="","Add client name","OK")))</f>
        <v/>
      </c>
    </row>
    <row r="99" ht="23" customHeight="1">
      <c r="A99" s="14" t="n"/>
      <c r="B99" s="15" t="n"/>
      <c r="C99" s="15" t="n"/>
      <c r="D99" s="14" t="n"/>
      <c r="E99" s="15" t="n"/>
      <c r="F99" s="12">
        <f>IF(A99="","",COUNTIF(Sales!$D$2:$D$501,A99))</f>
        <v/>
      </c>
      <c r="G99" s="13">
        <f>IF(A99="","",SUMIF(Sales!$D$2:$D$501,A99,Sales!$G$2:$G$501))</f>
        <v/>
      </c>
      <c r="H99" s="12">
        <f>IF(A99="","",IF(COUNTIF($A$2:$A$501,A99)&gt;1,"Duplicate client ID",IF(B99="","Add client name","OK")))</f>
        <v/>
      </c>
    </row>
    <row r="100" ht="23" customHeight="1">
      <c r="A100" s="9" t="n"/>
      <c r="B100" s="10" t="n"/>
      <c r="C100" s="10" t="n"/>
      <c r="D100" s="9" t="n"/>
      <c r="E100" s="10" t="n"/>
      <c r="F100" s="12">
        <f>IF(A100="","",COUNTIF(Sales!$D$2:$D$501,A100))</f>
        <v/>
      </c>
      <c r="G100" s="13">
        <f>IF(A100="","",SUMIF(Sales!$D$2:$D$501,A100,Sales!$G$2:$G$501))</f>
        <v/>
      </c>
      <c r="H100" s="12">
        <f>IF(A100="","",IF(COUNTIF($A$2:$A$501,A100)&gt;1,"Duplicate client ID",IF(B100="","Add client name","OK")))</f>
        <v/>
      </c>
    </row>
    <row r="101" ht="23" customHeight="1">
      <c r="A101" s="14" t="n"/>
      <c r="B101" s="15" t="n"/>
      <c r="C101" s="15" t="n"/>
      <c r="D101" s="14" t="n"/>
      <c r="E101" s="15" t="n"/>
      <c r="F101" s="12">
        <f>IF(A101="","",COUNTIF(Sales!$D$2:$D$501,A101))</f>
        <v/>
      </c>
      <c r="G101" s="13">
        <f>IF(A101="","",SUMIF(Sales!$D$2:$D$501,A101,Sales!$G$2:$G$501))</f>
        <v/>
      </c>
      <c r="H101" s="12">
        <f>IF(A101="","",IF(COUNTIF($A$2:$A$501,A101)&gt;1,"Duplicate client ID",IF(B101="","Add client name","OK")))</f>
        <v/>
      </c>
    </row>
    <row r="102" ht="23" customHeight="1">
      <c r="A102" s="9" t="n"/>
      <c r="B102" s="10" t="n"/>
      <c r="C102" s="10" t="n"/>
      <c r="D102" s="9" t="n"/>
      <c r="E102" s="10" t="n"/>
      <c r="F102" s="12">
        <f>IF(A102="","",COUNTIF(Sales!$D$2:$D$501,A102))</f>
        <v/>
      </c>
      <c r="G102" s="13">
        <f>IF(A102="","",SUMIF(Sales!$D$2:$D$501,A102,Sales!$G$2:$G$501))</f>
        <v/>
      </c>
      <c r="H102" s="12">
        <f>IF(A102="","",IF(COUNTIF($A$2:$A$501,A102)&gt;1,"Duplicate client ID",IF(B102="","Add client name","OK")))</f>
        <v/>
      </c>
    </row>
    <row r="103" ht="23" customHeight="1">
      <c r="A103" s="14" t="n"/>
      <c r="B103" s="15" t="n"/>
      <c r="C103" s="15" t="n"/>
      <c r="D103" s="14" t="n"/>
      <c r="E103" s="15" t="n"/>
      <c r="F103" s="12">
        <f>IF(A103="","",COUNTIF(Sales!$D$2:$D$501,A103))</f>
        <v/>
      </c>
      <c r="G103" s="13">
        <f>IF(A103="","",SUMIF(Sales!$D$2:$D$501,A103,Sales!$G$2:$G$501))</f>
        <v/>
      </c>
      <c r="H103" s="12">
        <f>IF(A103="","",IF(COUNTIF($A$2:$A$501,A103)&gt;1,"Duplicate client ID",IF(B103="","Add client name","OK")))</f>
        <v/>
      </c>
    </row>
    <row r="104" ht="23" customHeight="1">
      <c r="A104" s="9" t="n"/>
      <c r="B104" s="10" t="n"/>
      <c r="C104" s="10" t="n"/>
      <c r="D104" s="9" t="n"/>
      <c r="E104" s="10" t="n"/>
      <c r="F104" s="12">
        <f>IF(A104="","",COUNTIF(Sales!$D$2:$D$501,A104))</f>
        <v/>
      </c>
      <c r="G104" s="13">
        <f>IF(A104="","",SUMIF(Sales!$D$2:$D$501,A104,Sales!$G$2:$G$501))</f>
        <v/>
      </c>
      <c r="H104" s="12">
        <f>IF(A104="","",IF(COUNTIF($A$2:$A$501,A104)&gt;1,"Duplicate client ID",IF(B104="","Add client name","OK")))</f>
        <v/>
      </c>
    </row>
    <row r="105" ht="23" customHeight="1">
      <c r="A105" s="14" t="n"/>
      <c r="B105" s="15" t="n"/>
      <c r="C105" s="15" t="n"/>
      <c r="D105" s="14" t="n"/>
      <c r="E105" s="15" t="n"/>
      <c r="F105" s="12">
        <f>IF(A105="","",COUNTIF(Sales!$D$2:$D$501,A105))</f>
        <v/>
      </c>
      <c r="G105" s="13">
        <f>IF(A105="","",SUMIF(Sales!$D$2:$D$501,A105,Sales!$G$2:$G$501))</f>
        <v/>
      </c>
      <c r="H105" s="12">
        <f>IF(A105="","",IF(COUNTIF($A$2:$A$501,A105)&gt;1,"Duplicate client ID",IF(B105="","Add client name","OK")))</f>
        <v/>
      </c>
    </row>
    <row r="106" ht="23" customHeight="1">
      <c r="A106" s="9" t="n"/>
      <c r="B106" s="10" t="n"/>
      <c r="C106" s="10" t="n"/>
      <c r="D106" s="9" t="n"/>
      <c r="E106" s="10" t="n"/>
      <c r="F106" s="12">
        <f>IF(A106="","",COUNTIF(Sales!$D$2:$D$501,A106))</f>
        <v/>
      </c>
      <c r="G106" s="13">
        <f>IF(A106="","",SUMIF(Sales!$D$2:$D$501,A106,Sales!$G$2:$G$501))</f>
        <v/>
      </c>
      <c r="H106" s="12">
        <f>IF(A106="","",IF(COUNTIF($A$2:$A$501,A106)&gt;1,"Duplicate client ID",IF(B106="","Add client name","OK")))</f>
        <v/>
      </c>
    </row>
    <row r="107" ht="23" customHeight="1">
      <c r="A107" s="14" t="n"/>
      <c r="B107" s="15" t="n"/>
      <c r="C107" s="15" t="n"/>
      <c r="D107" s="14" t="n"/>
      <c r="E107" s="15" t="n"/>
      <c r="F107" s="12">
        <f>IF(A107="","",COUNTIF(Sales!$D$2:$D$501,A107))</f>
        <v/>
      </c>
      <c r="G107" s="13">
        <f>IF(A107="","",SUMIF(Sales!$D$2:$D$501,A107,Sales!$G$2:$G$501))</f>
        <v/>
      </c>
      <c r="H107" s="12">
        <f>IF(A107="","",IF(COUNTIF($A$2:$A$501,A107)&gt;1,"Duplicate client ID",IF(B107="","Add client name","OK")))</f>
        <v/>
      </c>
    </row>
    <row r="108" ht="23" customHeight="1">
      <c r="A108" s="9" t="n"/>
      <c r="B108" s="10" t="n"/>
      <c r="C108" s="10" t="n"/>
      <c r="D108" s="9" t="n"/>
      <c r="E108" s="10" t="n"/>
      <c r="F108" s="12">
        <f>IF(A108="","",COUNTIF(Sales!$D$2:$D$501,A108))</f>
        <v/>
      </c>
      <c r="G108" s="13">
        <f>IF(A108="","",SUMIF(Sales!$D$2:$D$501,A108,Sales!$G$2:$G$501))</f>
        <v/>
      </c>
      <c r="H108" s="12">
        <f>IF(A108="","",IF(COUNTIF($A$2:$A$501,A108)&gt;1,"Duplicate client ID",IF(B108="","Add client name","OK")))</f>
        <v/>
      </c>
    </row>
    <row r="109" ht="23" customHeight="1">
      <c r="A109" s="14" t="n"/>
      <c r="B109" s="15" t="n"/>
      <c r="C109" s="15" t="n"/>
      <c r="D109" s="14" t="n"/>
      <c r="E109" s="15" t="n"/>
      <c r="F109" s="12">
        <f>IF(A109="","",COUNTIF(Sales!$D$2:$D$501,A109))</f>
        <v/>
      </c>
      <c r="G109" s="13">
        <f>IF(A109="","",SUMIF(Sales!$D$2:$D$501,A109,Sales!$G$2:$G$501))</f>
        <v/>
      </c>
      <c r="H109" s="12">
        <f>IF(A109="","",IF(COUNTIF($A$2:$A$501,A109)&gt;1,"Duplicate client ID",IF(B109="","Add client name","OK")))</f>
        <v/>
      </c>
    </row>
    <row r="110" ht="23" customHeight="1">
      <c r="A110" s="9" t="n"/>
      <c r="B110" s="10" t="n"/>
      <c r="C110" s="10" t="n"/>
      <c r="D110" s="9" t="n"/>
      <c r="E110" s="10" t="n"/>
      <c r="F110" s="12">
        <f>IF(A110="","",COUNTIF(Sales!$D$2:$D$501,A110))</f>
        <v/>
      </c>
      <c r="G110" s="13">
        <f>IF(A110="","",SUMIF(Sales!$D$2:$D$501,A110,Sales!$G$2:$G$501))</f>
        <v/>
      </c>
      <c r="H110" s="12">
        <f>IF(A110="","",IF(COUNTIF($A$2:$A$501,A110)&gt;1,"Duplicate client ID",IF(B110="","Add client name","OK")))</f>
        <v/>
      </c>
    </row>
    <row r="111" ht="23" customHeight="1">
      <c r="A111" s="14" t="n"/>
      <c r="B111" s="15" t="n"/>
      <c r="C111" s="15" t="n"/>
      <c r="D111" s="14" t="n"/>
      <c r="E111" s="15" t="n"/>
      <c r="F111" s="12">
        <f>IF(A111="","",COUNTIF(Sales!$D$2:$D$501,A111))</f>
        <v/>
      </c>
      <c r="G111" s="13">
        <f>IF(A111="","",SUMIF(Sales!$D$2:$D$501,A111,Sales!$G$2:$G$501))</f>
        <v/>
      </c>
      <c r="H111" s="12">
        <f>IF(A111="","",IF(COUNTIF($A$2:$A$501,A111)&gt;1,"Duplicate client ID",IF(B111="","Add client name","OK")))</f>
        <v/>
      </c>
    </row>
    <row r="112" ht="23" customHeight="1">
      <c r="A112" s="9" t="n"/>
      <c r="B112" s="10" t="n"/>
      <c r="C112" s="10" t="n"/>
      <c r="D112" s="9" t="n"/>
      <c r="E112" s="10" t="n"/>
      <c r="F112" s="12">
        <f>IF(A112="","",COUNTIF(Sales!$D$2:$D$501,A112))</f>
        <v/>
      </c>
      <c r="G112" s="13">
        <f>IF(A112="","",SUMIF(Sales!$D$2:$D$501,A112,Sales!$G$2:$G$501))</f>
        <v/>
      </c>
      <c r="H112" s="12">
        <f>IF(A112="","",IF(COUNTIF($A$2:$A$501,A112)&gt;1,"Duplicate client ID",IF(B112="","Add client name","OK")))</f>
        <v/>
      </c>
    </row>
    <row r="113" ht="23" customHeight="1">
      <c r="A113" s="14" t="n"/>
      <c r="B113" s="15" t="n"/>
      <c r="C113" s="15" t="n"/>
      <c r="D113" s="14" t="n"/>
      <c r="E113" s="15" t="n"/>
      <c r="F113" s="12">
        <f>IF(A113="","",COUNTIF(Sales!$D$2:$D$501,A113))</f>
        <v/>
      </c>
      <c r="G113" s="13">
        <f>IF(A113="","",SUMIF(Sales!$D$2:$D$501,A113,Sales!$G$2:$G$501))</f>
        <v/>
      </c>
      <c r="H113" s="12">
        <f>IF(A113="","",IF(COUNTIF($A$2:$A$501,A113)&gt;1,"Duplicate client ID",IF(B113="","Add client name","OK")))</f>
        <v/>
      </c>
    </row>
    <row r="114" ht="23" customHeight="1">
      <c r="A114" s="9" t="n"/>
      <c r="B114" s="10" t="n"/>
      <c r="C114" s="10" t="n"/>
      <c r="D114" s="9" t="n"/>
      <c r="E114" s="10" t="n"/>
      <c r="F114" s="12">
        <f>IF(A114="","",COUNTIF(Sales!$D$2:$D$501,A114))</f>
        <v/>
      </c>
      <c r="G114" s="13">
        <f>IF(A114="","",SUMIF(Sales!$D$2:$D$501,A114,Sales!$G$2:$G$501))</f>
        <v/>
      </c>
      <c r="H114" s="12">
        <f>IF(A114="","",IF(COUNTIF($A$2:$A$501,A114)&gt;1,"Duplicate client ID",IF(B114="","Add client name","OK")))</f>
        <v/>
      </c>
    </row>
    <row r="115" ht="23" customHeight="1">
      <c r="A115" s="14" t="n"/>
      <c r="B115" s="15" t="n"/>
      <c r="C115" s="15" t="n"/>
      <c r="D115" s="14" t="n"/>
      <c r="E115" s="15" t="n"/>
      <c r="F115" s="12">
        <f>IF(A115="","",COUNTIF(Sales!$D$2:$D$501,A115))</f>
        <v/>
      </c>
      <c r="G115" s="13">
        <f>IF(A115="","",SUMIF(Sales!$D$2:$D$501,A115,Sales!$G$2:$G$501))</f>
        <v/>
      </c>
      <c r="H115" s="12">
        <f>IF(A115="","",IF(COUNTIF($A$2:$A$501,A115)&gt;1,"Duplicate client ID",IF(B115="","Add client name","OK")))</f>
        <v/>
      </c>
    </row>
    <row r="116" ht="23" customHeight="1">
      <c r="A116" s="9" t="n"/>
      <c r="B116" s="10" t="n"/>
      <c r="C116" s="10" t="n"/>
      <c r="D116" s="9" t="n"/>
      <c r="E116" s="10" t="n"/>
      <c r="F116" s="12">
        <f>IF(A116="","",COUNTIF(Sales!$D$2:$D$501,A116))</f>
        <v/>
      </c>
      <c r="G116" s="13">
        <f>IF(A116="","",SUMIF(Sales!$D$2:$D$501,A116,Sales!$G$2:$G$501))</f>
        <v/>
      </c>
      <c r="H116" s="12">
        <f>IF(A116="","",IF(COUNTIF($A$2:$A$501,A116)&gt;1,"Duplicate client ID",IF(B116="","Add client name","OK")))</f>
        <v/>
      </c>
    </row>
    <row r="117" ht="23" customHeight="1">
      <c r="A117" s="14" t="n"/>
      <c r="B117" s="15" t="n"/>
      <c r="C117" s="15" t="n"/>
      <c r="D117" s="14" t="n"/>
      <c r="E117" s="15" t="n"/>
      <c r="F117" s="12">
        <f>IF(A117="","",COUNTIF(Sales!$D$2:$D$501,A117))</f>
        <v/>
      </c>
      <c r="G117" s="13">
        <f>IF(A117="","",SUMIF(Sales!$D$2:$D$501,A117,Sales!$G$2:$G$501))</f>
        <v/>
      </c>
      <c r="H117" s="12">
        <f>IF(A117="","",IF(COUNTIF($A$2:$A$501,A117)&gt;1,"Duplicate client ID",IF(B117="","Add client name","OK")))</f>
        <v/>
      </c>
    </row>
    <row r="118" ht="23" customHeight="1">
      <c r="A118" s="9" t="n"/>
      <c r="B118" s="10" t="n"/>
      <c r="C118" s="10" t="n"/>
      <c r="D118" s="9" t="n"/>
      <c r="E118" s="10" t="n"/>
      <c r="F118" s="12">
        <f>IF(A118="","",COUNTIF(Sales!$D$2:$D$501,A118))</f>
        <v/>
      </c>
      <c r="G118" s="13">
        <f>IF(A118="","",SUMIF(Sales!$D$2:$D$501,A118,Sales!$G$2:$G$501))</f>
        <v/>
      </c>
      <c r="H118" s="12">
        <f>IF(A118="","",IF(COUNTIF($A$2:$A$501,A118)&gt;1,"Duplicate client ID",IF(B118="","Add client name","OK")))</f>
        <v/>
      </c>
    </row>
    <row r="119" ht="23" customHeight="1">
      <c r="A119" s="14" t="n"/>
      <c r="B119" s="15" t="n"/>
      <c r="C119" s="15" t="n"/>
      <c r="D119" s="14" t="n"/>
      <c r="E119" s="15" t="n"/>
      <c r="F119" s="12">
        <f>IF(A119="","",COUNTIF(Sales!$D$2:$D$501,A119))</f>
        <v/>
      </c>
      <c r="G119" s="13">
        <f>IF(A119="","",SUMIF(Sales!$D$2:$D$501,A119,Sales!$G$2:$G$501))</f>
        <v/>
      </c>
      <c r="H119" s="12">
        <f>IF(A119="","",IF(COUNTIF($A$2:$A$501,A119)&gt;1,"Duplicate client ID",IF(B119="","Add client name","OK")))</f>
        <v/>
      </c>
    </row>
    <row r="120" ht="23" customHeight="1">
      <c r="A120" s="9" t="n"/>
      <c r="B120" s="10" t="n"/>
      <c r="C120" s="10" t="n"/>
      <c r="D120" s="9" t="n"/>
      <c r="E120" s="10" t="n"/>
      <c r="F120" s="12">
        <f>IF(A120="","",COUNTIF(Sales!$D$2:$D$501,A120))</f>
        <v/>
      </c>
      <c r="G120" s="13">
        <f>IF(A120="","",SUMIF(Sales!$D$2:$D$501,A120,Sales!$G$2:$G$501))</f>
        <v/>
      </c>
      <c r="H120" s="12">
        <f>IF(A120="","",IF(COUNTIF($A$2:$A$501,A120)&gt;1,"Duplicate client ID",IF(B120="","Add client name","OK")))</f>
        <v/>
      </c>
    </row>
    <row r="121" ht="23" customHeight="1">
      <c r="A121" s="14" t="n"/>
      <c r="B121" s="15" t="n"/>
      <c r="C121" s="15" t="n"/>
      <c r="D121" s="14" t="n"/>
      <c r="E121" s="15" t="n"/>
      <c r="F121" s="12">
        <f>IF(A121="","",COUNTIF(Sales!$D$2:$D$501,A121))</f>
        <v/>
      </c>
      <c r="G121" s="13">
        <f>IF(A121="","",SUMIF(Sales!$D$2:$D$501,A121,Sales!$G$2:$G$501))</f>
        <v/>
      </c>
      <c r="H121" s="12">
        <f>IF(A121="","",IF(COUNTIF($A$2:$A$501,A121)&gt;1,"Duplicate client ID",IF(B121="","Add client name","OK")))</f>
        <v/>
      </c>
    </row>
    <row r="122" ht="23" customHeight="1">
      <c r="A122" s="9" t="n"/>
      <c r="B122" s="10" t="n"/>
      <c r="C122" s="10" t="n"/>
      <c r="D122" s="9" t="n"/>
      <c r="E122" s="10" t="n"/>
      <c r="F122" s="12">
        <f>IF(A122="","",COUNTIF(Sales!$D$2:$D$501,A122))</f>
        <v/>
      </c>
      <c r="G122" s="13">
        <f>IF(A122="","",SUMIF(Sales!$D$2:$D$501,A122,Sales!$G$2:$G$501))</f>
        <v/>
      </c>
      <c r="H122" s="12">
        <f>IF(A122="","",IF(COUNTIF($A$2:$A$501,A122)&gt;1,"Duplicate client ID",IF(B122="","Add client name","OK")))</f>
        <v/>
      </c>
    </row>
    <row r="123" ht="23" customHeight="1">
      <c r="A123" s="14" t="n"/>
      <c r="B123" s="15" t="n"/>
      <c r="C123" s="15" t="n"/>
      <c r="D123" s="14" t="n"/>
      <c r="E123" s="15" t="n"/>
      <c r="F123" s="12">
        <f>IF(A123="","",COUNTIF(Sales!$D$2:$D$501,A123))</f>
        <v/>
      </c>
      <c r="G123" s="13">
        <f>IF(A123="","",SUMIF(Sales!$D$2:$D$501,A123,Sales!$G$2:$G$501))</f>
        <v/>
      </c>
      <c r="H123" s="12">
        <f>IF(A123="","",IF(COUNTIF($A$2:$A$501,A123)&gt;1,"Duplicate client ID",IF(B123="","Add client name","OK")))</f>
        <v/>
      </c>
    </row>
    <row r="124" ht="23" customHeight="1">
      <c r="A124" s="9" t="n"/>
      <c r="B124" s="10" t="n"/>
      <c r="C124" s="10" t="n"/>
      <c r="D124" s="9" t="n"/>
      <c r="E124" s="10" t="n"/>
      <c r="F124" s="12">
        <f>IF(A124="","",COUNTIF(Sales!$D$2:$D$501,A124))</f>
        <v/>
      </c>
      <c r="G124" s="13">
        <f>IF(A124="","",SUMIF(Sales!$D$2:$D$501,A124,Sales!$G$2:$G$501))</f>
        <v/>
      </c>
      <c r="H124" s="12">
        <f>IF(A124="","",IF(COUNTIF($A$2:$A$501,A124)&gt;1,"Duplicate client ID",IF(B124="","Add client name","OK")))</f>
        <v/>
      </c>
    </row>
    <row r="125" ht="23" customHeight="1">
      <c r="A125" s="14" t="n"/>
      <c r="B125" s="15" t="n"/>
      <c r="C125" s="15" t="n"/>
      <c r="D125" s="14" t="n"/>
      <c r="E125" s="15" t="n"/>
      <c r="F125" s="12">
        <f>IF(A125="","",COUNTIF(Sales!$D$2:$D$501,A125))</f>
        <v/>
      </c>
      <c r="G125" s="13">
        <f>IF(A125="","",SUMIF(Sales!$D$2:$D$501,A125,Sales!$G$2:$G$501))</f>
        <v/>
      </c>
      <c r="H125" s="12">
        <f>IF(A125="","",IF(COUNTIF($A$2:$A$501,A125)&gt;1,"Duplicate client ID",IF(B125="","Add client name","OK")))</f>
        <v/>
      </c>
    </row>
    <row r="126" ht="23" customHeight="1">
      <c r="A126" s="9" t="n"/>
      <c r="B126" s="10" t="n"/>
      <c r="C126" s="10" t="n"/>
      <c r="D126" s="9" t="n"/>
      <c r="E126" s="10" t="n"/>
      <c r="F126" s="12">
        <f>IF(A126="","",COUNTIF(Sales!$D$2:$D$501,A126))</f>
        <v/>
      </c>
      <c r="G126" s="13">
        <f>IF(A126="","",SUMIF(Sales!$D$2:$D$501,A126,Sales!$G$2:$G$501))</f>
        <v/>
      </c>
      <c r="H126" s="12">
        <f>IF(A126="","",IF(COUNTIF($A$2:$A$501,A126)&gt;1,"Duplicate client ID",IF(B126="","Add client name","OK")))</f>
        <v/>
      </c>
    </row>
    <row r="127" ht="23" customHeight="1">
      <c r="A127" s="14" t="n"/>
      <c r="B127" s="15" t="n"/>
      <c r="C127" s="15" t="n"/>
      <c r="D127" s="14" t="n"/>
      <c r="E127" s="15" t="n"/>
      <c r="F127" s="12">
        <f>IF(A127="","",COUNTIF(Sales!$D$2:$D$501,A127))</f>
        <v/>
      </c>
      <c r="G127" s="13">
        <f>IF(A127="","",SUMIF(Sales!$D$2:$D$501,A127,Sales!$G$2:$G$501))</f>
        <v/>
      </c>
      <c r="H127" s="12">
        <f>IF(A127="","",IF(COUNTIF($A$2:$A$501,A127)&gt;1,"Duplicate client ID",IF(B127="","Add client name","OK")))</f>
        <v/>
      </c>
    </row>
    <row r="128" ht="23" customHeight="1">
      <c r="A128" s="9" t="n"/>
      <c r="B128" s="10" t="n"/>
      <c r="C128" s="10" t="n"/>
      <c r="D128" s="9" t="n"/>
      <c r="E128" s="10" t="n"/>
      <c r="F128" s="12">
        <f>IF(A128="","",COUNTIF(Sales!$D$2:$D$501,A128))</f>
        <v/>
      </c>
      <c r="G128" s="13">
        <f>IF(A128="","",SUMIF(Sales!$D$2:$D$501,A128,Sales!$G$2:$G$501))</f>
        <v/>
      </c>
      <c r="H128" s="12">
        <f>IF(A128="","",IF(COUNTIF($A$2:$A$501,A128)&gt;1,"Duplicate client ID",IF(B128="","Add client name","OK")))</f>
        <v/>
      </c>
    </row>
    <row r="129" ht="23" customHeight="1">
      <c r="A129" s="14" t="n"/>
      <c r="B129" s="15" t="n"/>
      <c r="C129" s="15" t="n"/>
      <c r="D129" s="14" t="n"/>
      <c r="E129" s="15" t="n"/>
      <c r="F129" s="12">
        <f>IF(A129="","",COUNTIF(Sales!$D$2:$D$501,A129))</f>
        <v/>
      </c>
      <c r="G129" s="13">
        <f>IF(A129="","",SUMIF(Sales!$D$2:$D$501,A129,Sales!$G$2:$G$501))</f>
        <v/>
      </c>
      <c r="H129" s="12">
        <f>IF(A129="","",IF(COUNTIF($A$2:$A$501,A129)&gt;1,"Duplicate client ID",IF(B129="","Add client name","OK")))</f>
        <v/>
      </c>
    </row>
    <row r="130" ht="23" customHeight="1">
      <c r="A130" s="9" t="n"/>
      <c r="B130" s="10" t="n"/>
      <c r="C130" s="10" t="n"/>
      <c r="D130" s="9" t="n"/>
      <c r="E130" s="10" t="n"/>
      <c r="F130" s="12">
        <f>IF(A130="","",COUNTIF(Sales!$D$2:$D$501,A130))</f>
        <v/>
      </c>
      <c r="G130" s="13">
        <f>IF(A130="","",SUMIF(Sales!$D$2:$D$501,A130,Sales!$G$2:$G$501))</f>
        <v/>
      </c>
      <c r="H130" s="12">
        <f>IF(A130="","",IF(COUNTIF($A$2:$A$501,A130)&gt;1,"Duplicate client ID",IF(B130="","Add client name","OK")))</f>
        <v/>
      </c>
    </row>
    <row r="131" ht="23" customHeight="1">
      <c r="A131" s="14" t="n"/>
      <c r="B131" s="15" t="n"/>
      <c r="C131" s="15" t="n"/>
      <c r="D131" s="14" t="n"/>
      <c r="E131" s="15" t="n"/>
      <c r="F131" s="12">
        <f>IF(A131="","",COUNTIF(Sales!$D$2:$D$501,A131))</f>
        <v/>
      </c>
      <c r="G131" s="13">
        <f>IF(A131="","",SUMIF(Sales!$D$2:$D$501,A131,Sales!$G$2:$G$501))</f>
        <v/>
      </c>
      <c r="H131" s="12">
        <f>IF(A131="","",IF(COUNTIF($A$2:$A$501,A131)&gt;1,"Duplicate client ID",IF(B131="","Add client name","OK")))</f>
        <v/>
      </c>
    </row>
    <row r="132" ht="23" customHeight="1">
      <c r="A132" s="9" t="n"/>
      <c r="B132" s="10" t="n"/>
      <c r="C132" s="10" t="n"/>
      <c r="D132" s="9" t="n"/>
      <c r="E132" s="10" t="n"/>
      <c r="F132" s="12">
        <f>IF(A132="","",COUNTIF(Sales!$D$2:$D$501,A132))</f>
        <v/>
      </c>
      <c r="G132" s="13">
        <f>IF(A132="","",SUMIF(Sales!$D$2:$D$501,A132,Sales!$G$2:$G$501))</f>
        <v/>
      </c>
      <c r="H132" s="12">
        <f>IF(A132="","",IF(COUNTIF($A$2:$A$501,A132)&gt;1,"Duplicate client ID",IF(B132="","Add client name","OK")))</f>
        <v/>
      </c>
    </row>
    <row r="133" ht="23" customHeight="1">
      <c r="A133" s="14" t="n"/>
      <c r="B133" s="15" t="n"/>
      <c r="C133" s="15" t="n"/>
      <c r="D133" s="14" t="n"/>
      <c r="E133" s="15" t="n"/>
      <c r="F133" s="12">
        <f>IF(A133="","",COUNTIF(Sales!$D$2:$D$501,A133))</f>
        <v/>
      </c>
      <c r="G133" s="13">
        <f>IF(A133="","",SUMIF(Sales!$D$2:$D$501,A133,Sales!$G$2:$G$501))</f>
        <v/>
      </c>
      <c r="H133" s="12">
        <f>IF(A133="","",IF(COUNTIF($A$2:$A$501,A133)&gt;1,"Duplicate client ID",IF(B133="","Add client name","OK")))</f>
        <v/>
      </c>
    </row>
    <row r="134" ht="23" customHeight="1">
      <c r="A134" s="9" t="n"/>
      <c r="B134" s="10" t="n"/>
      <c r="C134" s="10" t="n"/>
      <c r="D134" s="9" t="n"/>
      <c r="E134" s="10" t="n"/>
      <c r="F134" s="12">
        <f>IF(A134="","",COUNTIF(Sales!$D$2:$D$501,A134))</f>
        <v/>
      </c>
      <c r="G134" s="13">
        <f>IF(A134="","",SUMIF(Sales!$D$2:$D$501,A134,Sales!$G$2:$G$501))</f>
        <v/>
      </c>
      <c r="H134" s="12">
        <f>IF(A134="","",IF(COUNTIF($A$2:$A$501,A134)&gt;1,"Duplicate client ID",IF(B134="","Add client name","OK")))</f>
        <v/>
      </c>
    </row>
    <row r="135" ht="23" customHeight="1">
      <c r="A135" s="14" t="n"/>
      <c r="B135" s="15" t="n"/>
      <c r="C135" s="15" t="n"/>
      <c r="D135" s="14" t="n"/>
      <c r="E135" s="15" t="n"/>
      <c r="F135" s="12">
        <f>IF(A135="","",COUNTIF(Sales!$D$2:$D$501,A135))</f>
        <v/>
      </c>
      <c r="G135" s="13">
        <f>IF(A135="","",SUMIF(Sales!$D$2:$D$501,A135,Sales!$G$2:$G$501))</f>
        <v/>
      </c>
      <c r="H135" s="12">
        <f>IF(A135="","",IF(COUNTIF($A$2:$A$501,A135)&gt;1,"Duplicate client ID",IF(B135="","Add client name","OK")))</f>
        <v/>
      </c>
    </row>
    <row r="136" ht="23" customHeight="1">
      <c r="A136" s="9" t="n"/>
      <c r="B136" s="10" t="n"/>
      <c r="C136" s="10" t="n"/>
      <c r="D136" s="9" t="n"/>
      <c r="E136" s="10" t="n"/>
      <c r="F136" s="12">
        <f>IF(A136="","",COUNTIF(Sales!$D$2:$D$501,A136))</f>
        <v/>
      </c>
      <c r="G136" s="13">
        <f>IF(A136="","",SUMIF(Sales!$D$2:$D$501,A136,Sales!$G$2:$G$501))</f>
        <v/>
      </c>
      <c r="H136" s="12">
        <f>IF(A136="","",IF(COUNTIF($A$2:$A$501,A136)&gt;1,"Duplicate client ID",IF(B136="","Add client name","OK")))</f>
        <v/>
      </c>
    </row>
    <row r="137" ht="23" customHeight="1">
      <c r="A137" s="14" t="n"/>
      <c r="B137" s="15" t="n"/>
      <c r="C137" s="15" t="n"/>
      <c r="D137" s="14" t="n"/>
      <c r="E137" s="15" t="n"/>
      <c r="F137" s="12">
        <f>IF(A137="","",COUNTIF(Sales!$D$2:$D$501,A137))</f>
        <v/>
      </c>
      <c r="G137" s="13">
        <f>IF(A137="","",SUMIF(Sales!$D$2:$D$501,A137,Sales!$G$2:$G$501))</f>
        <v/>
      </c>
      <c r="H137" s="12">
        <f>IF(A137="","",IF(COUNTIF($A$2:$A$501,A137)&gt;1,"Duplicate client ID",IF(B137="","Add client name","OK")))</f>
        <v/>
      </c>
    </row>
    <row r="138" ht="23" customHeight="1">
      <c r="A138" s="9" t="n"/>
      <c r="B138" s="10" t="n"/>
      <c r="C138" s="10" t="n"/>
      <c r="D138" s="9" t="n"/>
      <c r="E138" s="10" t="n"/>
      <c r="F138" s="12">
        <f>IF(A138="","",COUNTIF(Sales!$D$2:$D$501,A138))</f>
        <v/>
      </c>
      <c r="G138" s="13">
        <f>IF(A138="","",SUMIF(Sales!$D$2:$D$501,A138,Sales!$G$2:$G$501))</f>
        <v/>
      </c>
      <c r="H138" s="12">
        <f>IF(A138="","",IF(COUNTIF($A$2:$A$501,A138)&gt;1,"Duplicate client ID",IF(B138="","Add client name","OK")))</f>
        <v/>
      </c>
    </row>
    <row r="139" ht="23" customHeight="1">
      <c r="A139" s="14" t="n"/>
      <c r="B139" s="15" t="n"/>
      <c r="C139" s="15" t="n"/>
      <c r="D139" s="14" t="n"/>
      <c r="E139" s="15" t="n"/>
      <c r="F139" s="12">
        <f>IF(A139="","",COUNTIF(Sales!$D$2:$D$501,A139))</f>
        <v/>
      </c>
      <c r="G139" s="13">
        <f>IF(A139="","",SUMIF(Sales!$D$2:$D$501,A139,Sales!$G$2:$G$501))</f>
        <v/>
      </c>
      <c r="H139" s="12">
        <f>IF(A139="","",IF(COUNTIF($A$2:$A$501,A139)&gt;1,"Duplicate client ID",IF(B139="","Add client name","OK")))</f>
        <v/>
      </c>
    </row>
    <row r="140" ht="23" customHeight="1">
      <c r="A140" s="9" t="n"/>
      <c r="B140" s="10" t="n"/>
      <c r="C140" s="10" t="n"/>
      <c r="D140" s="9" t="n"/>
      <c r="E140" s="10" t="n"/>
      <c r="F140" s="12">
        <f>IF(A140="","",COUNTIF(Sales!$D$2:$D$501,A140))</f>
        <v/>
      </c>
      <c r="G140" s="13">
        <f>IF(A140="","",SUMIF(Sales!$D$2:$D$501,A140,Sales!$G$2:$G$501))</f>
        <v/>
      </c>
      <c r="H140" s="12">
        <f>IF(A140="","",IF(COUNTIF($A$2:$A$501,A140)&gt;1,"Duplicate client ID",IF(B140="","Add client name","OK")))</f>
        <v/>
      </c>
    </row>
    <row r="141" ht="23" customHeight="1">
      <c r="A141" s="14" t="n"/>
      <c r="B141" s="15" t="n"/>
      <c r="C141" s="15" t="n"/>
      <c r="D141" s="14" t="n"/>
      <c r="E141" s="15" t="n"/>
      <c r="F141" s="12">
        <f>IF(A141="","",COUNTIF(Sales!$D$2:$D$501,A141))</f>
        <v/>
      </c>
      <c r="G141" s="13">
        <f>IF(A141="","",SUMIF(Sales!$D$2:$D$501,A141,Sales!$G$2:$G$501))</f>
        <v/>
      </c>
      <c r="H141" s="12">
        <f>IF(A141="","",IF(COUNTIF($A$2:$A$501,A141)&gt;1,"Duplicate client ID",IF(B141="","Add client name","OK")))</f>
        <v/>
      </c>
    </row>
    <row r="142" ht="23" customHeight="1">
      <c r="A142" s="9" t="n"/>
      <c r="B142" s="10" t="n"/>
      <c r="C142" s="10" t="n"/>
      <c r="D142" s="9" t="n"/>
      <c r="E142" s="10" t="n"/>
      <c r="F142" s="12">
        <f>IF(A142="","",COUNTIF(Sales!$D$2:$D$501,A142))</f>
        <v/>
      </c>
      <c r="G142" s="13">
        <f>IF(A142="","",SUMIF(Sales!$D$2:$D$501,A142,Sales!$G$2:$G$501))</f>
        <v/>
      </c>
      <c r="H142" s="12">
        <f>IF(A142="","",IF(COUNTIF($A$2:$A$501,A142)&gt;1,"Duplicate client ID",IF(B142="","Add client name","OK")))</f>
        <v/>
      </c>
    </row>
    <row r="143" ht="23" customHeight="1">
      <c r="A143" s="14" t="n"/>
      <c r="B143" s="15" t="n"/>
      <c r="C143" s="15" t="n"/>
      <c r="D143" s="14" t="n"/>
      <c r="E143" s="15" t="n"/>
      <c r="F143" s="12">
        <f>IF(A143="","",COUNTIF(Sales!$D$2:$D$501,A143))</f>
        <v/>
      </c>
      <c r="G143" s="13">
        <f>IF(A143="","",SUMIF(Sales!$D$2:$D$501,A143,Sales!$G$2:$G$501))</f>
        <v/>
      </c>
      <c r="H143" s="12">
        <f>IF(A143="","",IF(COUNTIF($A$2:$A$501,A143)&gt;1,"Duplicate client ID",IF(B143="","Add client name","OK")))</f>
        <v/>
      </c>
    </row>
    <row r="144" ht="23" customHeight="1">
      <c r="A144" s="9" t="n"/>
      <c r="B144" s="10" t="n"/>
      <c r="C144" s="10" t="n"/>
      <c r="D144" s="9" t="n"/>
      <c r="E144" s="10" t="n"/>
      <c r="F144" s="12">
        <f>IF(A144="","",COUNTIF(Sales!$D$2:$D$501,A144))</f>
        <v/>
      </c>
      <c r="G144" s="13">
        <f>IF(A144="","",SUMIF(Sales!$D$2:$D$501,A144,Sales!$G$2:$G$501))</f>
        <v/>
      </c>
      <c r="H144" s="12">
        <f>IF(A144="","",IF(COUNTIF($A$2:$A$501,A144)&gt;1,"Duplicate client ID",IF(B144="","Add client name","OK")))</f>
        <v/>
      </c>
    </row>
    <row r="145" ht="23" customHeight="1">
      <c r="A145" s="14" t="n"/>
      <c r="B145" s="15" t="n"/>
      <c r="C145" s="15" t="n"/>
      <c r="D145" s="14" t="n"/>
      <c r="E145" s="15" t="n"/>
      <c r="F145" s="12">
        <f>IF(A145="","",COUNTIF(Sales!$D$2:$D$501,A145))</f>
        <v/>
      </c>
      <c r="G145" s="13">
        <f>IF(A145="","",SUMIF(Sales!$D$2:$D$501,A145,Sales!$G$2:$G$501))</f>
        <v/>
      </c>
      <c r="H145" s="12">
        <f>IF(A145="","",IF(COUNTIF($A$2:$A$501,A145)&gt;1,"Duplicate client ID",IF(B145="","Add client name","OK")))</f>
        <v/>
      </c>
    </row>
    <row r="146" ht="23" customHeight="1">
      <c r="A146" s="9" t="n"/>
      <c r="B146" s="10" t="n"/>
      <c r="C146" s="10" t="n"/>
      <c r="D146" s="9" t="n"/>
      <c r="E146" s="10" t="n"/>
      <c r="F146" s="12">
        <f>IF(A146="","",COUNTIF(Sales!$D$2:$D$501,A146))</f>
        <v/>
      </c>
      <c r="G146" s="13">
        <f>IF(A146="","",SUMIF(Sales!$D$2:$D$501,A146,Sales!$G$2:$G$501))</f>
        <v/>
      </c>
      <c r="H146" s="12">
        <f>IF(A146="","",IF(COUNTIF($A$2:$A$501,A146)&gt;1,"Duplicate client ID",IF(B146="","Add client name","OK")))</f>
        <v/>
      </c>
    </row>
    <row r="147" ht="23" customHeight="1">
      <c r="A147" s="14" t="n"/>
      <c r="B147" s="15" t="n"/>
      <c r="C147" s="15" t="n"/>
      <c r="D147" s="14" t="n"/>
      <c r="E147" s="15" t="n"/>
      <c r="F147" s="12">
        <f>IF(A147="","",COUNTIF(Sales!$D$2:$D$501,A147))</f>
        <v/>
      </c>
      <c r="G147" s="13">
        <f>IF(A147="","",SUMIF(Sales!$D$2:$D$501,A147,Sales!$G$2:$G$501))</f>
        <v/>
      </c>
      <c r="H147" s="12">
        <f>IF(A147="","",IF(COUNTIF($A$2:$A$501,A147)&gt;1,"Duplicate client ID",IF(B147="","Add client name","OK")))</f>
        <v/>
      </c>
    </row>
    <row r="148" ht="23" customHeight="1">
      <c r="A148" s="9" t="n"/>
      <c r="B148" s="10" t="n"/>
      <c r="C148" s="10" t="n"/>
      <c r="D148" s="9" t="n"/>
      <c r="E148" s="10" t="n"/>
      <c r="F148" s="12">
        <f>IF(A148="","",COUNTIF(Sales!$D$2:$D$501,A148))</f>
        <v/>
      </c>
      <c r="G148" s="13">
        <f>IF(A148="","",SUMIF(Sales!$D$2:$D$501,A148,Sales!$G$2:$G$501))</f>
        <v/>
      </c>
      <c r="H148" s="12">
        <f>IF(A148="","",IF(COUNTIF($A$2:$A$501,A148)&gt;1,"Duplicate client ID",IF(B148="","Add client name","OK")))</f>
        <v/>
      </c>
    </row>
    <row r="149" ht="23" customHeight="1">
      <c r="A149" s="14" t="n"/>
      <c r="B149" s="15" t="n"/>
      <c r="C149" s="15" t="n"/>
      <c r="D149" s="14" t="n"/>
      <c r="E149" s="15" t="n"/>
      <c r="F149" s="12">
        <f>IF(A149="","",COUNTIF(Sales!$D$2:$D$501,A149))</f>
        <v/>
      </c>
      <c r="G149" s="13">
        <f>IF(A149="","",SUMIF(Sales!$D$2:$D$501,A149,Sales!$G$2:$G$501))</f>
        <v/>
      </c>
      <c r="H149" s="12">
        <f>IF(A149="","",IF(COUNTIF($A$2:$A$501,A149)&gt;1,"Duplicate client ID",IF(B149="","Add client name","OK")))</f>
        <v/>
      </c>
    </row>
    <row r="150" ht="23" customHeight="1">
      <c r="A150" s="9" t="n"/>
      <c r="B150" s="10" t="n"/>
      <c r="C150" s="10" t="n"/>
      <c r="D150" s="9" t="n"/>
      <c r="E150" s="10" t="n"/>
      <c r="F150" s="12">
        <f>IF(A150="","",COUNTIF(Sales!$D$2:$D$501,A150))</f>
        <v/>
      </c>
      <c r="G150" s="13">
        <f>IF(A150="","",SUMIF(Sales!$D$2:$D$501,A150,Sales!$G$2:$G$501))</f>
        <v/>
      </c>
      <c r="H150" s="12">
        <f>IF(A150="","",IF(COUNTIF($A$2:$A$501,A150)&gt;1,"Duplicate client ID",IF(B150="","Add client name","OK")))</f>
        <v/>
      </c>
    </row>
    <row r="151" ht="23" customHeight="1">
      <c r="A151" s="14" t="n"/>
      <c r="B151" s="15" t="n"/>
      <c r="C151" s="15" t="n"/>
      <c r="D151" s="14" t="n"/>
      <c r="E151" s="15" t="n"/>
      <c r="F151" s="12">
        <f>IF(A151="","",COUNTIF(Sales!$D$2:$D$501,A151))</f>
        <v/>
      </c>
      <c r="G151" s="13">
        <f>IF(A151="","",SUMIF(Sales!$D$2:$D$501,A151,Sales!$G$2:$G$501))</f>
        <v/>
      </c>
      <c r="H151" s="12">
        <f>IF(A151="","",IF(COUNTIF($A$2:$A$501,A151)&gt;1,"Duplicate client ID",IF(B151="","Add client name","OK")))</f>
        <v/>
      </c>
    </row>
    <row r="152" ht="23" customHeight="1">
      <c r="A152" s="9" t="n"/>
      <c r="B152" s="10" t="n"/>
      <c r="C152" s="10" t="n"/>
      <c r="D152" s="9" t="n"/>
      <c r="E152" s="10" t="n"/>
      <c r="F152" s="12">
        <f>IF(A152="","",COUNTIF(Sales!$D$2:$D$501,A152))</f>
        <v/>
      </c>
      <c r="G152" s="13">
        <f>IF(A152="","",SUMIF(Sales!$D$2:$D$501,A152,Sales!$G$2:$G$501))</f>
        <v/>
      </c>
      <c r="H152" s="12">
        <f>IF(A152="","",IF(COUNTIF($A$2:$A$501,A152)&gt;1,"Duplicate client ID",IF(B152="","Add client name","OK")))</f>
        <v/>
      </c>
    </row>
    <row r="153" ht="23" customHeight="1">
      <c r="A153" s="14" t="n"/>
      <c r="B153" s="15" t="n"/>
      <c r="C153" s="15" t="n"/>
      <c r="D153" s="14" t="n"/>
      <c r="E153" s="15" t="n"/>
      <c r="F153" s="12">
        <f>IF(A153="","",COUNTIF(Sales!$D$2:$D$501,A153))</f>
        <v/>
      </c>
      <c r="G153" s="13">
        <f>IF(A153="","",SUMIF(Sales!$D$2:$D$501,A153,Sales!$G$2:$G$501))</f>
        <v/>
      </c>
      <c r="H153" s="12">
        <f>IF(A153="","",IF(COUNTIF($A$2:$A$501,A153)&gt;1,"Duplicate client ID",IF(B153="","Add client name","OK")))</f>
        <v/>
      </c>
    </row>
    <row r="154" ht="23" customHeight="1">
      <c r="A154" s="9" t="n"/>
      <c r="B154" s="10" t="n"/>
      <c r="C154" s="10" t="n"/>
      <c r="D154" s="9" t="n"/>
      <c r="E154" s="10" t="n"/>
      <c r="F154" s="12">
        <f>IF(A154="","",COUNTIF(Sales!$D$2:$D$501,A154))</f>
        <v/>
      </c>
      <c r="G154" s="13">
        <f>IF(A154="","",SUMIF(Sales!$D$2:$D$501,A154,Sales!$G$2:$G$501))</f>
        <v/>
      </c>
      <c r="H154" s="12">
        <f>IF(A154="","",IF(COUNTIF($A$2:$A$501,A154)&gt;1,"Duplicate client ID",IF(B154="","Add client name","OK")))</f>
        <v/>
      </c>
    </row>
    <row r="155" ht="23" customHeight="1">
      <c r="A155" s="14" t="n"/>
      <c r="B155" s="15" t="n"/>
      <c r="C155" s="15" t="n"/>
      <c r="D155" s="14" t="n"/>
      <c r="E155" s="15" t="n"/>
      <c r="F155" s="12">
        <f>IF(A155="","",COUNTIF(Sales!$D$2:$D$501,A155))</f>
        <v/>
      </c>
      <c r="G155" s="13">
        <f>IF(A155="","",SUMIF(Sales!$D$2:$D$501,A155,Sales!$G$2:$G$501))</f>
        <v/>
      </c>
      <c r="H155" s="12">
        <f>IF(A155="","",IF(COUNTIF($A$2:$A$501,A155)&gt;1,"Duplicate client ID",IF(B155="","Add client name","OK")))</f>
        <v/>
      </c>
    </row>
    <row r="156" ht="23" customHeight="1">
      <c r="A156" s="9" t="n"/>
      <c r="B156" s="10" t="n"/>
      <c r="C156" s="10" t="n"/>
      <c r="D156" s="9" t="n"/>
      <c r="E156" s="10" t="n"/>
      <c r="F156" s="12">
        <f>IF(A156="","",COUNTIF(Sales!$D$2:$D$501,A156))</f>
        <v/>
      </c>
      <c r="G156" s="13">
        <f>IF(A156="","",SUMIF(Sales!$D$2:$D$501,A156,Sales!$G$2:$G$501))</f>
        <v/>
      </c>
      <c r="H156" s="12">
        <f>IF(A156="","",IF(COUNTIF($A$2:$A$501,A156)&gt;1,"Duplicate client ID",IF(B156="","Add client name","OK")))</f>
        <v/>
      </c>
    </row>
    <row r="157" ht="23" customHeight="1">
      <c r="A157" s="14" t="n"/>
      <c r="B157" s="15" t="n"/>
      <c r="C157" s="15" t="n"/>
      <c r="D157" s="14" t="n"/>
      <c r="E157" s="15" t="n"/>
      <c r="F157" s="12">
        <f>IF(A157="","",COUNTIF(Sales!$D$2:$D$501,A157))</f>
        <v/>
      </c>
      <c r="G157" s="13">
        <f>IF(A157="","",SUMIF(Sales!$D$2:$D$501,A157,Sales!$G$2:$G$501))</f>
        <v/>
      </c>
      <c r="H157" s="12">
        <f>IF(A157="","",IF(COUNTIF($A$2:$A$501,A157)&gt;1,"Duplicate client ID",IF(B157="","Add client name","OK")))</f>
        <v/>
      </c>
    </row>
    <row r="158" ht="23" customHeight="1">
      <c r="A158" s="9" t="n"/>
      <c r="B158" s="10" t="n"/>
      <c r="C158" s="10" t="n"/>
      <c r="D158" s="9" t="n"/>
      <c r="E158" s="10" t="n"/>
      <c r="F158" s="12">
        <f>IF(A158="","",COUNTIF(Sales!$D$2:$D$501,A158))</f>
        <v/>
      </c>
      <c r="G158" s="13">
        <f>IF(A158="","",SUMIF(Sales!$D$2:$D$501,A158,Sales!$G$2:$G$501))</f>
        <v/>
      </c>
      <c r="H158" s="12">
        <f>IF(A158="","",IF(COUNTIF($A$2:$A$501,A158)&gt;1,"Duplicate client ID",IF(B158="","Add client name","OK")))</f>
        <v/>
      </c>
    </row>
    <row r="159" ht="23" customHeight="1">
      <c r="A159" s="14" t="n"/>
      <c r="B159" s="15" t="n"/>
      <c r="C159" s="15" t="n"/>
      <c r="D159" s="14" t="n"/>
      <c r="E159" s="15" t="n"/>
      <c r="F159" s="12">
        <f>IF(A159="","",COUNTIF(Sales!$D$2:$D$501,A159))</f>
        <v/>
      </c>
      <c r="G159" s="13">
        <f>IF(A159="","",SUMIF(Sales!$D$2:$D$501,A159,Sales!$G$2:$G$501))</f>
        <v/>
      </c>
      <c r="H159" s="12">
        <f>IF(A159="","",IF(COUNTIF($A$2:$A$501,A159)&gt;1,"Duplicate client ID",IF(B159="","Add client name","OK")))</f>
        <v/>
      </c>
    </row>
    <row r="160" ht="23" customHeight="1">
      <c r="A160" s="9" t="n"/>
      <c r="B160" s="10" t="n"/>
      <c r="C160" s="10" t="n"/>
      <c r="D160" s="9" t="n"/>
      <c r="E160" s="10" t="n"/>
      <c r="F160" s="12">
        <f>IF(A160="","",COUNTIF(Sales!$D$2:$D$501,A160))</f>
        <v/>
      </c>
      <c r="G160" s="13">
        <f>IF(A160="","",SUMIF(Sales!$D$2:$D$501,A160,Sales!$G$2:$G$501))</f>
        <v/>
      </c>
      <c r="H160" s="12">
        <f>IF(A160="","",IF(COUNTIF($A$2:$A$501,A160)&gt;1,"Duplicate client ID",IF(B160="","Add client name","OK")))</f>
        <v/>
      </c>
    </row>
    <row r="161" ht="23" customHeight="1">
      <c r="A161" s="14" t="n"/>
      <c r="B161" s="15" t="n"/>
      <c r="C161" s="15" t="n"/>
      <c r="D161" s="14" t="n"/>
      <c r="E161" s="15" t="n"/>
      <c r="F161" s="12">
        <f>IF(A161="","",COUNTIF(Sales!$D$2:$D$501,A161))</f>
        <v/>
      </c>
      <c r="G161" s="13">
        <f>IF(A161="","",SUMIF(Sales!$D$2:$D$501,A161,Sales!$G$2:$G$501))</f>
        <v/>
      </c>
      <c r="H161" s="12">
        <f>IF(A161="","",IF(COUNTIF($A$2:$A$501,A161)&gt;1,"Duplicate client ID",IF(B161="","Add client name","OK")))</f>
        <v/>
      </c>
    </row>
    <row r="162" ht="23" customHeight="1">
      <c r="A162" s="9" t="n"/>
      <c r="B162" s="10" t="n"/>
      <c r="C162" s="10" t="n"/>
      <c r="D162" s="9" t="n"/>
      <c r="E162" s="10" t="n"/>
      <c r="F162" s="12">
        <f>IF(A162="","",COUNTIF(Sales!$D$2:$D$501,A162))</f>
        <v/>
      </c>
      <c r="G162" s="13">
        <f>IF(A162="","",SUMIF(Sales!$D$2:$D$501,A162,Sales!$G$2:$G$501))</f>
        <v/>
      </c>
      <c r="H162" s="12">
        <f>IF(A162="","",IF(COUNTIF($A$2:$A$501,A162)&gt;1,"Duplicate client ID",IF(B162="","Add client name","OK")))</f>
        <v/>
      </c>
    </row>
    <row r="163" ht="23" customHeight="1">
      <c r="A163" s="14" t="n"/>
      <c r="B163" s="15" t="n"/>
      <c r="C163" s="15" t="n"/>
      <c r="D163" s="14" t="n"/>
      <c r="E163" s="15" t="n"/>
      <c r="F163" s="12">
        <f>IF(A163="","",COUNTIF(Sales!$D$2:$D$501,A163))</f>
        <v/>
      </c>
      <c r="G163" s="13">
        <f>IF(A163="","",SUMIF(Sales!$D$2:$D$501,A163,Sales!$G$2:$G$501))</f>
        <v/>
      </c>
      <c r="H163" s="12">
        <f>IF(A163="","",IF(COUNTIF($A$2:$A$501,A163)&gt;1,"Duplicate client ID",IF(B163="","Add client name","OK")))</f>
        <v/>
      </c>
    </row>
    <row r="164" ht="23" customHeight="1">
      <c r="A164" s="9" t="n"/>
      <c r="B164" s="10" t="n"/>
      <c r="C164" s="10" t="n"/>
      <c r="D164" s="9" t="n"/>
      <c r="E164" s="10" t="n"/>
      <c r="F164" s="12">
        <f>IF(A164="","",COUNTIF(Sales!$D$2:$D$501,A164))</f>
        <v/>
      </c>
      <c r="G164" s="13">
        <f>IF(A164="","",SUMIF(Sales!$D$2:$D$501,A164,Sales!$G$2:$G$501))</f>
        <v/>
      </c>
      <c r="H164" s="12">
        <f>IF(A164="","",IF(COUNTIF($A$2:$A$501,A164)&gt;1,"Duplicate client ID",IF(B164="","Add client name","OK")))</f>
        <v/>
      </c>
    </row>
    <row r="165" ht="23" customHeight="1">
      <c r="A165" s="14" t="n"/>
      <c r="B165" s="15" t="n"/>
      <c r="C165" s="15" t="n"/>
      <c r="D165" s="14" t="n"/>
      <c r="E165" s="15" t="n"/>
      <c r="F165" s="12">
        <f>IF(A165="","",COUNTIF(Sales!$D$2:$D$501,A165))</f>
        <v/>
      </c>
      <c r="G165" s="13">
        <f>IF(A165="","",SUMIF(Sales!$D$2:$D$501,A165,Sales!$G$2:$G$501))</f>
        <v/>
      </c>
      <c r="H165" s="12">
        <f>IF(A165="","",IF(COUNTIF($A$2:$A$501,A165)&gt;1,"Duplicate client ID",IF(B165="","Add client name","OK")))</f>
        <v/>
      </c>
    </row>
    <row r="166" ht="23" customHeight="1">
      <c r="A166" s="9" t="n"/>
      <c r="B166" s="10" t="n"/>
      <c r="C166" s="10" t="n"/>
      <c r="D166" s="9" t="n"/>
      <c r="E166" s="10" t="n"/>
      <c r="F166" s="12">
        <f>IF(A166="","",COUNTIF(Sales!$D$2:$D$501,A166))</f>
        <v/>
      </c>
      <c r="G166" s="13">
        <f>IF(A166="","",SUMIF(Sales!$D$2:$D$501,A166,Sales!$G$2:$G$501))</f>
        <v/>
      </c>
      <c r="H166" s="12">
        <f>IF(A166="","",IF(COUNTIF($A$2:$A$501,A166)&gt;1,"Duplicate client ID",IF(B166="","Add client name","OK")))</f>
        <v/>
      </c>
    </row>
    <row r="167" ht="23" customHeight="1">
      <c r="A167" s="14" t="n"/>
      <c r="B167" s="15" t="n"/>
      <c r="C167" s="15" t="n"/>
      <c r="D167" s="14" t="n"/>
      <c r="E167" s="15" t="n"/>
      <c r="F167" s="12">
        <f>IF(A167="","",COUNTIF(Sales!$D$2:$D$501,A167))</f>
        <v/>
      </c>
      <c r="G167" s="13">
        <f>IF(A167="","",SUMIF(Sales!$D$2:$D$501,A167,Sales!$G$2:$G$501))</f>
        <v/>
      </c>
      <c r="H167" s="12">
        <f>IF(A167="","",IF(COUNTIF($A$2:$A$501,A167)&gt;1,"Duplicate client ID",IF(B167="","Add client name","OK")))</f>
        <v/>
      </c>
    </row>
    <row r="168" ht="23" customHeight="1">
      <c r="A168" s="9" t="n"/>
      <c r="B168" s="10" t="n"/>
      <c r="C168" s="10" t="n"/>
      <c r="D168" s="9" t="n"/>
      <c r="E168" s="10" t="n"/>
      <c r="F168" s="12">
        <f>IF(A168="","",COUNTIF(Sales!$D$2:$D$501,A168))</f>
        <v/>
      </c>
      <c r="G168" s="13">
        <f>IF(A168="","",SUMIF(Sales!$D$2:$D$501,A168,Sales!$G$2:$G$501))</f>
        <v/>
      </c>
      <c r="H168" s="12">
        <f>IF(A168="","",IF(COUNTIF($A$2:$A$501,A168)&gt;1,"Duplicate client ID",IF(B168="","Add client name","OK")))</f>
        <v/>
      </c>
    </row>
    <row r="169" ht="23" customHeight="1">
      <c r="A169" s="14" t="n"/>
      <c r="B169" s="15" t="n"/>
      <c r="C169" s="15" t="n"/>
      <c r="D169" s="14" t="n"/>
      <c r="E169" s="15" t="n"/>
      <c r="F169" s="12">
        <f>IF(A169="","",COUNTIF(Sales!$D$2:$D$501,A169))</f>
        <v/>
      </c>
      <c r="G169" s="13">
        <f>IF(A169="","",SUMIF(Sales!$D$2:$D$501,A169,Sales!$G$2:$G$501))</f>
        <v/>
      </c>
      <c r="H169" s="12">
        <f>IF(A169="","",IF(COUNTIF($A$2:$A$501,A169)&gt;1,"Duplicate client ID",IF(B169="","Add client name","OK")))</f>
        <v/>
      </c>
    </row>
    <row r="170" ht="23" customHeight="1">
      <c r="A170" s="9" t="n"/>
      <c r="B170" s="10" t="n"/>
      <c r="C170" s="10" t="n"/>
      <c r="D170" s="9" t="n"/>
      <c r="E170" s="10" t="n"/>
      <c r="F170" s="12">
        <f>IF(A170="","",COUNTIF(Sales!$D$2:$D$501,A170))</f>
        <v/>
      </c>
      <c r="G170" s="13">
        <f>IF(A170="","",SUMIF(Sales!$D$2:$D$501,A170,Sales!$G$2:$G$501))</f>
        <v/>
      </c>
      <c r="H170" s="12">
        <f>IF(A170="","",IF(COUNTIF($A$2:$A$501,A170)&gt;1,"Duplicate client ID",IF(B170="","Add client name","OK")))</f>
        <v/>
      </c>
    </row>
    <row r="171" ht="23" customHeight="1">
      <c r="A171" s="14" t="n"/>
      <c r="B171" s="15" t="n"/>
      <c r="C171" s="15" t="n"/>
      <c r="D171" s="14" t="n"/>
      <c r="E171" s="15" t="n"/>
      <c r="F171" s="12">
        <f>IF(A171="","",COUNTIF(Sales!$D$2:$D$501,A171))</f>
        <v/>
      </c>
      <c r="G171" s="13">
        <f>IF(A171="","",SUMIF(Sales!$D$2:$D$501,A171,Sales!$G$2:$G$501))</f>
        <v/>
      </c>
      <c r="H171" s="12">
        <f>IF(A171="","",IF(COUNTIF($A$2:$A$501,A171)&gt;1,"Duplicate client ID",IF(B171="","Add client name","OK")))</f>
        <v/>
      </c>
    </row>
    <row r="172" ht="23" customHeight="1">
      <c r="A172" s="9" t="n"/>
      <c r="B172" s="10" t="n"/>
      <c r="C172" s="10" t="n"/>
      <c r="D172" s="9" t="n"/>
      <c r="E172" s="10" t="n"/>
      <c r="F172" s="12">
        <f>IF(A172="","",COUNTIF(Sales!$D$2:$D$501,A172))</f>
        <v/>
      </c>
      <c r="G172" s="13">
        <f>IF(A172="","",SUMIF(Sales!$D$2:$D$501,A172,Sales!$G$2:$G$501))</f>
        <v/>
      </c>
      <c r="H172" s="12">
        <f>IF(A172="","",IF(COUNTIF($A$2:$A$501,A172)&gt;1,"Duplicate client ID",IF(B172="","Add client name","OK")))</f>
        <v/>
      </c>
    </row>
    <row r="173" ht="23" customHeight="1">
      <c r="A173" s="14" t="n"/>
      <c r="B173" s="15" t="n"/>
      <c r="C173" s="15" t="n"/>
      <c r="D173" s="14" t="n"/>
      <c r="E173" s="15" t="n"/>
      <c r="F173" s="12">
        <f>IF(A173="","",COUNTIF(Sales!$D$2:$D$501,A173))</f>
        <v/>
      </c>
      <c r="G173" s="13">
        <f>IF(A173="","",SUMIF(Sales!$D$2:$D$501,A173,Sales!$G$2:$G$501))</f>
        <v/>
      </c>
      <c r="H173" s="12">
        <f>IF(A173="","",IF(COUNTIF($A$2:$A$501,A173)&gt;1,"Duplicate client ID",IF(B173="","Add client name","OK")))</f>
        <v/>
      </c>
    </row>
    <row r="174" ht="23" customHeight="1">
      <c r="A174" s="9" t="n"/>
      <c r="B174" s="10" t="n"/>
      <c r="C174" s="10" t="n"/>
      <c r="D174" s="9" t="n"/>
      <c r="E174" s="10" t="n"/>
      <c r="F174" s="12">
        <f>IF(A174="","",COUNTIF(Sales!$D$2:$D$501,A174))</f>
        <v/>
      </c>
      <c r="G174" s="13">
        <f>IF(A174="","",SUMIF(Sales!$D$2:$D$501,A174,Sales!$G$2:$G$501))</f>
        <v/>
      </c>
      <c r="H174" s="12">
        <f>IF(A174="","",IF(COUNTIF($A$2:$A$501,A174)&gt;1,"Duplicate client ID",IF(B174="","Add client name","OK")))</f>
        <v/>
      </c>
    </row>
    <row r="175" ht="23" customHeight="1">
      <c r="A175" s="14" t="n"/>
      <c r="B175" s="15" t="n"/>
      <c r="C175" s="15" t="n"/>
      <c r="D175" s="14" t="n"/>
      <c r="E175" s="15" t="n"/>
      <c r="F175" s="12">
        <f>IF(A175="","",COUNTIF(Sales!$D$2:$D$501,A175))</f>
        <v/>
      </c>
      <c r="G175" s="13">
        <f>IF(A175="","",SUMIF(Sales!$D$2:$D$501,A175,Sales!$G$2:$G$501))</f>
        <v/>
      </c>
      <c r="H175" s="12">
        <f>IF(A175="","",IF(COUNTIF($A$2:$A$501,A175)&gt;1,"Duplicate client ID",IF(B175="","Add client name","OK")))</f>
        <v/>
      </c>
    </row>
    <row r="176" ht="23" customHeight="1">
      <c r="A176" s="9" t="n"/>
      <c r="B176" s="10" t="n"/>
      <c r="C176" s="10" t="n"/>
      <c r="D176" s="9" t="n"/>
      <c r="E176" s="10" t="n"/>
      <c r="F176" s="12">
        <f>IF(A176="","",COUNTIF(Sales!$D$2:$D$501,A176))</f>
        <v/>
      </c>
      <c r="G176" s="13">
        <f>IF(A176="","",SUMIF(Sales!$D$2:$D$501,A176,Sales!$G$2:$G$501))</f>
        <v/>
      </c>
      <c r="H176" s="12">
        <f>IF(A176="","",IF(COUNTIF($A$2:$A$501,A176)&gt;1,"Duplicate client ID",IF(B176="","Add client name","OK")))</f>
        <v/>
      </c>
    </row>
    <row r="177" ht="23" customHeight="1">
      <c r="A177" s="14" t="n"/>
      <c r="B177" s="15" t="n"/>
      <c r="C177" s="15" t="n"/>
      <c r="D177" s="14" t="n"/>
      <c r="E177" s="15" t="n"/>
      <c r="F177" s="12">
        <f>IF(A177="","",COUNTIF(Sales!$D$2:$D$501,A177))</f>
        <v/>
      </c>
      <c r="G177" s="13">
        <f>IF(A177="","",SUMIF(Sales!$D$2:$D$501,A177,Sales!$G$2:$G$501))</f>
        <v/>
      </c>
      <c r="H177" s="12">
        <f>IF(A177="","",IF(COUNTIF($A$2:$A$501,A177)&gt;1,"Duplicate client ID",IF(B177="","Add client name","OK")))</f>
        <v/>
      </c>
    </row>
    <row r="178" ht="23" customHeight="1">
      <c r="A178" s="9" t="n"/>
      <c r="B178" s="10" t="n"/>
      <c r="C178" s="10" t="n"/>
      <c r="D178" s="9" t="n"/>
      <c r="E178" s="10" t="n"/>
      <c r="F178" s="12">
        <f>IF(A178="","",COUNTIF(Sales!$D$2:$D$501,A178))</f>
        <v/>
      </c>
      <c r="G178" s="13">
        <f>IF(A178="","",SUMIF(Sales!$D$2:$D$501,A178,Sales!$G$2:$G$501))</f>
        <v/>
      </c>
      <c r="H178" s="12">
        <f>IF(A178="","",IF(COUNTIF($A$2:$A$501,A178)&gt;1,"Duplicate client ID",IF(B178="","Add client name","OK")))</f>
        <v/>
      </c>
    </row>
    <row r="179" ht="23" customHeight="1">
      <c r="A179" s="14" t="n"/>
      <c r="B179" s="15" t="n"/>
      <c r="C179" s="15" t="n"/>
      <c r="D179" s="14" t="n"/>
      <c r="E179" s="15" t="n"/>
      <c r="F179" s="12">
        <f>IF(A179="","",COUNTIF(Sales!$D$2:$D$501,A179))</f>
        <v/>
      </c>
      <c r="G179" s="13">
        <f>IF(A179="","",SUMIF(Sales!$D$2:$D$501,A179,Sales!$G$2:$G$501))</f>
        <v/>
      </c>
      <c r="H179" s="12">
        <f>IF(A179="","",IF(COUNTIF($A$2:$A$501,A179)&gt;1,"Duplicate client ID",IF(B179="","Add client name","OK")))</f>
        <v/>
      </c>
    </row>
    <row r="180" ht="23" customHeight="1">
      <c r="A180" s="9" t="n"/>
      <c r="B180" s="10" t="n"/>
      <c r="C180" s="10" t="n"/>
      <c r="D180" s="9" t="n"/>
      <c r="E180" s="10" t="n"/>
      <c r="F180" s="12">
        <f>IF(A180="","",COUNTIF(Sales!$D$2:$D$501,A180))</f>
        <v/>
      </c>
      <c r="G180" s="13">
        <f>IF(A180="","",SUMIF(Sales!$D$2:$D$501,A180,Sales!$G$2:$G$501))</f>
        <v/>
      </c>
      <c r="H180" s="12">
        <f>IF(A180="","",IF(COUNTIF($A$2:$A$501,A180)&gt;1,"Duplicate client ID",IF(B180="","Add client name","OK")))</f>
        <v/>
      </c>
    </row>
    <row r="181" ht="23" customHeight="1">
      <c r="A181" s="14" t="n"/>
      <c r="B181" s="15" t="n"/>
      <c r="C181" s="15" t="n"/>
      <c r="D181" s="14" t="n"/>
      <c r="E181" s="15" t="n"/>
      <c r="F181" s="12">
        <f>IF(A181="","",COUNTIF(Sales!$D$2:$D$501,A181))</f>
        <v/>
      </c>
      <c r="G181" s="13">
        <f>IF(A181="","",SUMIF(Sales!$D$2:$D$501,A181,Sales!$G$2:$G$501))</f>
        <v/>
      </c>
      <c r="H181" s="12">
        <f>IF(A181="","",IF(COUNTIF($A$2:$A$501,A181)&gt;1,"Duplicate client ID",IF(B181="","Add client name","OK")))</f>
        <v/>
      </c>
    </row>
    <row r="182" ht="23" customHeight="1">
      <c r="A182" s="9" t="n"/>
      <c r="B182" s="10" t="n"/>
      <c r="C182" s="10" t="n"/>
      <c r="D182" s="9" t="n"/>
      <c r="E182" s="10" t="n"/>
      <c r="F182" s="12">
        <f>IF(A182="","",COUNTIF(Sales!$D$2:$D$501,A182))</f>
        <v/>
      </c>
      <c r="G182" s="13">
        <f>IF(A182="","",SUMIF(Sales!$D$2:$D$501,A182,Sales!$G$2:$G$501))</f>
        <v/>
      </c>
      <c r="H182" s="12">
        <f>IF(A182="","",IF(COUNTIF($A$2:$A$501,A182)&gt;1,"Duplicate client ID",IF(B182="","Add client name","OK")))</f>
        <v/>
      </c>
    </row>
    <row r="183" ht="23" customHeight="1">
      <c r="A183" s="14" t="n"/>
      <c r="B183" s="15" t="n"/>
      <c r="C183" s="15" t="n"/>
      <c r="D183" s="14" t="n"/>
      <c r="E183" s="15" t="n"/>
      <c r="F183" s="12">
        <f>IF(A183="","",COUNTIF(Sales!$D$2:$D$501,A183))</f>
        <v/>
      </c>
      <c r="G183" s="13">
        <f>IF(A183="","",SUMIF(Sales!$D$2:$D$501,A183,Sales!$G$2:$G$501))</f>
        <v/>
      </c>
      <c r="H183" s="12">
        <f>IF(A183="","",IF(COUNTIF($A$2:$A$501,A183)&gt;1,"Duplicate client ID",IF(B183="","Add client name","OK")))</f>
        <v/>
      </c>
    </row>
    <row r="184" ht="23" customHeight="1">
      <c r="A184" s="9" t="n"/>
      <c r="B184" s="10" t="n"/>
      <c r="C184" s="10" t="n"/>
      <c r="D184" s="9" t="n"/>
      <c r="E184" s="10" t="n"/>
      <c r="F184" s="12">
        <f>IF(A184="","",COUNTIF(Sales!$D$2:$D$501,A184))</f>
        <v/>
      </c>
      <c r="G184" s="13">
        <f>IF(A184="","",SUMIF(Sales!$D$2:$D$501,A184,Sales!$G$2:$G$501))</f>
        <v/>
      </c>
      <c r="H184" s="12">
        <f>IF(A184="","",IF(COUNTIF($A$2:$A$501,A184)&gt;1,"Duplicate client ID",IF(B184="","Add client name","OK")))</f>
        <v/>
      </c>
    </row>
    <row r="185" ht="23" customHeight="1">
      <c r="A185" s="14" t="n"/>
      <c r="B185" s="15" t="n"/>
      <c r="C185" s="15" t="n"/>
      <c r="D185" s="14" t="n"/>
      <c r="E185" s="15" t="n"/>
      <c r="F185" s="12">
        <f>IF(A185="","",COUNTIF(Sales!$D$2:$D$501,A185))</f>
        <v/>
      </c>
      <c r="G185" s="13">
        <f>IF(A185="","",SUMIF(Sales!$D$2:$D$501,A185,Sales!$G$2:$G$501))</f>
        <v/>
      </c>
      <c r="H185" s="12">
        <f>IF(A185="","",IF(COUNTIF($A$2:$A$501,A185)&gt;1,"Duplicate client ID",IF(B185="","Add client name","OK")))</f>
        <v/>
      </c>
    </row>
    <row r="186" ht="23" customHeight="1">
      <c r="A186" s="9" t="n"/>
      <c r="B186" s="10" t="n"/>
      <c r="C186" s="10" t="n"/>
      <c r="D186" s="9" t="n"/>
      <c r="E186" s="10" t="n"/>
      <c r="F186" s="12">
        <f>IF(A186="","",COUNTIF(Sales!$D$2:$D$501,A186))</f>
        <v/>
      </c>
      <c r="G186" s="13">
        <f>IF(A186="","",SUMIF(Sales!$D$2:$D$501,A186,Sales!$G$2:$G$501))</f>
        <v/>
      </c>
      <c r="H186" s="12">
        <f>IF(A186="","",IF(COUNTIF($A$2:$A$501,A186)&gt;1,"Duplicate client ID",IF(B186="","Add client name","OK")))</f>
        <v/>
      </c>
    </row>
    <row r="187" ht="23" customHeight="1">
      <c r="A187" s="14" t="n"/>
      <c r="B187" s="15" t="n"/>
      <c r="C187" s="15" t="n"/>
      <c r="D187" s="14" t="n"/>
      <c r="E187" s="15" t="n"/>
      <c r="F187" s="12">
        <f>IF(A187="","",COUNTIF(Sales!$D$2:$D$501,A187))</f>
        <v/>
      </c>
      <c r="G187" s="13">
        <f>IF(A187="","",SUMIF(Sales!$D$2:$D$501,A187,Sales!$G$2:$G$501))</f>
        <v/>
      </c>
      <c r="H187" s="12">
        <f>IF(A187="","",IF(COUNTIF($A$2:$A$501,A187)&gt;1,"Duplicate client ID",IF(B187="","Add client name","OK")))</f>
        <v/>
      </c>
    </row>
    <row r="188" ht="23" customHeight="1">
      <c r="A188" s="9" t="n"/>
      <c r="B188" s="10" t="n"/>
      <c r="C188" s="10" t="n"/>
      <c r="D188" s="9" t="n"/>
      <c r="E188" s="10" t="n"/>
      <c r="F188" s="12">
        <f>IF(A188="","",COUNTIF(Sales!$D$2:$D$501,A188))</f>
        <v/>
      </c>
      <c r="G188" s="13">
        <f>IF(A188="","",SUMIF(Sales!$D$2:$D$501,A188,Sales!$G$2:$G$501))</f>
        <v/>
      </c>
      <c r="H188" s="12">
        <f>IF(A188="","",IF(COUNTIF($A$2:$A$501,A188)&gt;1,"Duplicate client ID",IF(B188="","Add client name","OK")))</f>
        <v/>
      </c>
    </row>
    <row r="189" ht="23" customHeight="1">
      <c r="A189" s="14" t="n"/>
      <c r="B189" s="15" t="n"/>
      <c r="C189" s="15" t="n"/>
      <c r="D189" s="14" t="n"/>
      <c r="E189" s="15" t="n"/>
      <c r="F189" s="12">
        <f>IF(A189="","",COUNTIF(Sales!$D$2:$D$501,A189))</f>
        <v/>
      </c>
      <c r="G189" s="13">
        <f>IF(A189="","",SUMIF(Sales!$D$2:$D$501,A189,Sales!$G$2:$G$501))</f>
        <v/>
      </c>
      <c r="H189" s="12">
        <f>IF(A189="","",IF(COUNTIF($A$2:$A$501,A189)&gt;1,"Duplicate client ID",IF(B189="","Add client name","OK")))</f>
        <v/>
      </c>
    </row>
    <row r="190" ht="23" customHeight="1">
      <c r="A190" s="9" t="n"/>
      <c r="B190" s="10" t="n"/>
      <c r="C190" s="10" t="n"/>
      <c r="D190" s="9" t="n"/>
      <c r="E190" s="10" t="n"/>
      <c r="F190" s="12">
        <f>IF(A190="","",COUNTIF(Sales!$D$2:$D$501,A190))</f>
        <v/>
      </c>
      <c r="G190" s="13">
        <f>IF(A190="","",SUMIF(Sales!$D$2:$D$501,A190,Sales!$G$2:$G$501))</f>
        <v/>
      </c>
      <c r="H190" s="12">
        <f>IF(A190="","",IF(COUNTIF($A$2:$A$501,A190)&gt;1,"Duplicate client ID",IF(B190="","Add client name","OK")))</f>
        <v/>
      </c>
    </row>
    <row r="191" ht="23" customHeight="1">
      <c r="A191" s="14" t="n"/>
      <c r="B191" s="15" t="n"/>
      <c r="C191" s="15" t="n"/>
      <c r="D191" s="14" t="n"/>
      <c r="E191" s="15" t="n"/>
      <c r="F191" s="12">
        <f>IF(A191="","",COUNTIF(Sales!$D$2:$D$501,A191))</f>
        <v/>
      </c>
      <c r="G191" s="13">
        <f>IF(A191="","",SUMIF(Sales!$D$2:$D$501,A191,Sales!$G$2:$G$501))</f>
        <v/>
      </c>
      <c r="H191" s="12">
        <f>IF(A191="","",IF(COUNTIF($A$2:$A$501,A191)&gt;1,"Duplicate client ID",IF(B191="","Add client name","OK")))</f>
        <v/>
      </c>
    </row>
    <row r="192" ht="23" customHeight="1">
      <c r="A192" s="9" t="n"/>
      <c r="B192" s="10" t="n"/>
      <c r="C192" s="10" t="n"/>
      <c r="D192" s="9" t="n"/>
      <c r="E192" s="10" t="n"/>
      <c r="F192" s="12">
        <f>IF(A192="","",COUNTIF(Sales!$D$2:$D$501,A192))</f>
        <v/>
      </c>
      <c r="G192" s="13">
        <f>IF(A192="","",SUMIF(Sales!$D$2:$D$501,A192,Sales!$G$2:$G$501))</f>
        <v/>
      </c>
      <c r="H192" s="12">
        <f>IF(A192="","",IF(COUNTIF($A$2:$A$501,A192)&gt;1,"Duplicate client ID",IF(B192="","Add client name","OK")))</f>
        <v/>
      </c>
    </row>
    <row r="193" ht="23" customHeight="1">
      <c r="A193" s="14" t="n"/>
      <c r="B193" s="15" t="n"/>
      <c r="C193" s="15" t="n"/>
      <c r="D193" s="14" t="n"/>
      <c r="E193" s="15" t="n"/>
      <c r="F193" s="12">
        <f>IF(A193="","",COUNTIF(Sales!$D$2:$D$501,A193))</f>
        <v/>
      </c>
      <c r="G193" s="13">
        <f>IF(A193="","",SUMIF(Sales!$D$2:$D$501,A193,Sales!$G$2:$G$501))</f>
        <v/>
      </c>
      <c r="H193" s="12">
        <f>IF(A193="","",IF(COUNTIF($A$2:$A$501,A193)&gt;1,"Duplicate client ID",IF(B193="","Add client name","OK")))</f>
        <v/>
      </c>
    </row>
    <row r="194" ht="23" customHeight="1">
      <c r="A194" s="9" t="n"/>
      <c r="B194" s="10" t="n"/>
      <c r="C194" s="10" t="n"/>
      <c r="D194" s="9" t="n"/>
      <c r="E194" s="10" t="n"/>
      <c r="F194" s="12">
        <f>IF(A194="","",COUNTIF(Sales!$D$2:$D$501,A194))</f>
        <v/>
      </c>
      <c r="G194" s="13">
        <f>IF(A194="","",SUMIF(Sales!$D$2:$D$501,A194,Sales!$G$2:$G$501))</f>
        <v/>
      </c>
      <c r="H194" s="12">
        <f>IF(A194="","",IF(COUNTIF($A$2:$A$501,A194)&gt;1,"Duplicate client ID",IF(B194="","Add client name","OK")))</f>
        <v/>
      </c>
    </row>
    <row r="195" ht="23" customHeight="1">
      <c r="A195" s="14" t="n"/>
      <c r="B195" s="15" t="n"/>
      <c r="C195" s="15" t="n"/>
      <c r="D195" s="14" t="n"/>
      <c r="E195" s="15" t="n"/>
      <c r="F195" s="12">
        <f>IF(A195="","",COUNTIF(Sales!$D$2:$D$501,A195))</f>
        <v/>
      </c>
      <c r="G195" s="13">
        <f>IF(A195="","",SUMIF(Sales!$D$2:$D$501,A195,Sales!$G$2:$G$501))</f>
        <v/>
      </c>
      <c r="H195" s="12">
        <f>IF(A195="","",IF(COUNTIF($A$2:$A$501,A195)&gt;1,"Duplicate client ID",IF(B195="","Add client name","OK")))</f>
        <v/>
      </c>
    </row>
    <row r="196" ht="23" customHeight="1">
      <c r="A196" s="9" t="n"/>
      <c r="B196" s="10" t="n"/>
      <c r="C196" s="10" t="n"/>
      <c r="D196" s="9" t="n"/>
      <c r="E196" s="10" t="n"/>
      <c r="F196" s="12">
        <f>IF(A196="","",COUNTIF(Sales!$D$2:$D$501,A196))</f>
        <v/>
      </c>
      <c r="G196" s="13">
        <f>IF(A196="","",SUMIF(Sales!$D$2:$D$501,A196,Sales!$G$2:$G$501))</f>
        <v/>
      </c>
      <c r="H196" s="12">
        <f>IF(A196="","",IF(COUNTIF($A$2:$A$501,A196)&gt;1,"Duplicate client ID",IF(B196="","Add client name","OK")))</f>
        <v/>
      </c>
    </row>
    <row r="197" ht="23" customHeight="1">
      <c r="A197" s="14" t="n"/>
      <c r="B197" s="15" t="n"/>
      <c r="C197" s="15" t="n"/>
      <c r="D197" s="14" t="n"/>
      <c r="E197" s="15" t="n"/>
      <c r="F197" s="12">
        <f>IF(A197="","",COUNTIF(Sales!$D$2:$D$501,A197))</f>
        <v/>
      </c>
      <c r="G197" s="13">
        <f>IF(A197="","",SUMIF(Sales!$D$2:$D$501,A197,Sales!$G$2:$G$501))</f>
        <v/>
      </c>
      <c r="H197" s="12">
        <f>IF(A197="","",IF(COUNTIF($A$2:$A$501,A197)&gt;1,"Duplicate client ID",IF(B197="","Add client name","OK")))</f>
        <v/>
      </c>
    </row>
    <row r="198" ht="23" customHeight="1">
      <c r="A198" s="9" t="n"/>
      <c r="B198" s="10" t="n"/>
      <c r="C198" s="10" t="n"/>
      <c r="D198" s="9" t="n"/>
      <c r="E198" s="10" t="n"/>
      <c r="F198" s="12">
        <f>IF(A198="","",COUNTIF(Sales!$D$2:$D$501,A198))</f>
        <v/>
      </c>
      <c r="G198" s="13">
        <f>IF(A198="","",SUMIF(Sales!$D$2:$D$501,A198,Sales!$G$2:$G$501))</f>
        <v/>
      </c>
      <c r="H198" s="12">
        <f>IF(A198="","",IF(COUNTIF($A$2:$A$501,A198)&gt;1,"Duplicate client ID",IF(B198="","Add client name","OK")))</f>
        <v/>
      </c>
    </row>
    <row r="199" ht="23" customHeight="1">
      <c r="A199" s="14" t="n"/>
      <c r="B199" s="15" t="n"/>
      <c r="C199" s="15" t="n"/>
      <c r="D199" s="14" t="n"/>
      <c r="E199" s="15" t="n"/>
      <c r="F199" s="12">
        <f>IF(A199="","",COUNTIF(Sales!$D$2:$D$501,A199))</f>
        <v/>
      </c>
      <c r="G199" s="13">
        <f>IF(A199="","",SUMIF(Sales!$D$2:$D$501,A199,Sales!$G$2:$G$501))</f>
        <v/>
      </c>
      <c r="H199" s="12">
        <f>IF(A199="","",IF(COUNTIF($A$2:$A$501,A199)&gt;1,"Duplicate client ID",IF(B199="","Add client name","OK")))</f>
        <v/>
      </c>
    </row>
    <row r="200" ht="23" customHeight="1">
      <c r="A200" s="9" t="n"/>
      <c r="B200" s="10" t="n"/>
      <c r="C200" s="10" t="n"/>
      <c r="D200" s="9" t="n"/>
      <c r="E200" s="10" t="n"/>
      <c r="F200" s="12">
        <f>IF(A200="","",COUNTIF(Sales!$D$2:$D$501,A200))</f>
        <v/>
      </c>
      <c r="G200" s="13">
        <f>IF(A200="","",SUMIF(Sales!$D$2:$D$501,A200,Sales!$G$2:$G$501))</f>
        <v/>
      </c>
      <c r="H200" s="12">
        <f>IF(A200="","",IF(COUNTIF($A$2:$A$501,A200)&gt;1,"Duplicate client ID",IF(B200="","Add client name","OK")))</f>
        <v/>
      </c>
    </row>
    <row r="201" ht="23" customHeight="1">
      <c r="A201" s="14" t="n"/>
      <c r="B201" s="15" t="n"/>
      <c r="C201" s="15" t="n"/>
      <c r="D201" s="14" t="n"/>
      <c r="E201" s="15" t="n"/>
      <c r="F201" s="12">
        <f>IF(A201="","",COUNTIF(Sales!$D$2:$D$501,A201))</f>
        <v/>
      </c>
      <c r="G201" s="13">
        <f>IF(A201="","",SUMIF(Sales!$D$2:$D$501,A201,Sales!$G$2:$G$501))</f>
        <v/>
      </c>
      <c r="H201" s="12">
        <f>IF(A201="","",IF(COUNTIF($A$2:$A$501,A201)&gt;1,"Duplicate client ID",IF(B201="","Add client name","OK")))</f>
        <v/>
      </c>
    </row>
    <row r="202" ht="23" customHeight="1">
      <c r="A202" s="9" t="n"/>
      <c r="B202" s="10" t="n"/>
      <c r="C202" s="10" t="n"/>
      <c r="D202" s="9" t="n"/>
      <c r="E202" s="10" t="n"/>
      <c r="F202" s="12">
        <f>IF(A202="","",COUNTIF(Sales!$D$2:$D$501,A202))</f>
        <v/>
      </c>
      <c r="G202" s="13">
        <f>IF(A202="","",SUMIF(Sales!$D$2:$D$501,A202,Sales!$G$2:$G$501))</f>
        <v/>
      </c>
      <c r="H202" s="12">
        <f>IF(A202="","",IF(COUNTIF($A$2:$A$501,A202)&gt;1,"Duplicate client ID",IF(B202="","Add client name","OK")))</f>
        <v/>
      </c>
    </row>
    <row r="203" ht="23" customHeight="1">
      <c r="A203" s="14" t="n"/>
      <c r="B203" s="15" t="n"/>
      <c r="C203" s="15" t="n"/>
      <c r="D203" s="14" t="n"/>
      <c r="E203" s="15" t="n"/>
      <c r="F203" s="12">
        <f>IF(A203="","",COUNTIF(Sales!$D$2:$D$501,A203))</f>
        <v/>
      </c>
      <c r="G203" s="13">
        <f>IF(A203="","",SUMIF(Sales!$D$2:$D$501,A203,Sales!$G$2:$G$501))</f>
        <v/>
      </c>
      <c r="H203" s="12">
        <f>IF(A203="","",IF(COUNTIF($A$2:$A$501,A203)&gt;1,"Duplicate client ID",IF(B203="","Add client name","OK")))</f>
        <v/>
      </c>
    </row>
    <row r="204" ht="23" customHeight="1">
      <c r="A204" s="9" t="n"/>
      <c r="B204" s="10" t="n"/>
      <c r="C204" s="10" t="n"/>
      <c r="D204" s="9" t="n"/>
      <c r="E204" s="10" t="n"/>
      <c r="F204" s="12">
        <f>IF(A204="","",COUNTIF(Sales!$D$2:$D$501,A204))</f>
        <v/>
      </c>
      <c r="G204" s="13">
        <f>IF(A204="","",SUMIF(Sales!$D$2:$D$501,A204,Sales!$G$2:$G$501))</f>
        <v/>
      </c>
      <c r="H204" s="12">
        <f>IF(A204="","",IF(COUNTIF($A$2:$A$501,A204)&gt;1,"Duplicate client ID",IF(B204="","Add client name","OK")))</f>
        <v/>
      </c>
    </row>
    <row r="205" ht="23" customHeight="1">
      <c r="A205" s="14" t="n"/>
      <c r="B205" s="15" t="n"/>
      <c r="C205" s="15" t="n"/>
      <c r="D205" s="14" t="n"/>
      <c r="E205" s="15" t="n"/>
      <c r="F205" s="12">
        <f>IF(A205="","",COUNTIF(Sales!$D$2:$D$501,A205))</f>
        <v/>
      </c>
      <c r="G205" s="13">
        <f>IF(A205="","",SUMIF(Sales!$D$2:$D$501,A205,Sales!$G$2:$G$501))</f>
        <v/>
      </c>
      <c r="H205" s="12">
        <f>IF(A205="","",IF(COUNTIF($A$2:$A$501,A205)&gt;1,"Duplicate client ID",IF(B205="","Add client name","OK")))</f>
        <v/>
      </c>
    </row>
    <row r="206" ht="23" customHeight="1">
      <c r="A206" s="9" t="n"/>
      <c r="B206" s="10" t="n"/>
      <c r="C206" s="10" t="n"/>
      <c r="D206" s="9" t="n"/>
      <c r="E206" s="10" t="n"/>
      <c r="F206" s="12">
        <f>IF(A206="","",COUNTIF(Sales!$D$2:$D$501,A206))</f>
        <v/>
      </c>
      <c r="G206" s="13">
        <f>IF(A206="","",SUMIF(Sales!$D$2:$D$501,A206,Sales!$G$2:$G$501))</f>
        <v/>
      </c>
      <c r="H206" s="12">
        <f>IF(A206="","",IF(COUNTIF($A$2:$A$501,A206)&gt;1,"Duplicate client ID",IF(B206="","Add client name","OK")))</f>
        <v/>
      </c>
    </row>
    <row r="207" ht="23" customHeight="1">
      <c r="A207" s="14" t="n"/>
      <c r="B207" s="15" t="n"/>
      <c r="C207" s="15" t="n"/>
      <c r="D207" s="14" t="n"/>
      <c r="E207" s="15" t="n"/>
      <c r="F207" s="12">
        <f>IF(A207="","",COUNTIF(Sales!$D$2:$D$501,A207))</f>
        <v/>
      </c>
      <c r="G207" s="13">
        <f>IF(A207="","",SUMIF(Sales!$D$2:$D$501,A207,Sales!$G$2:$G$501))</f>
        <v/>
      </c>
      <c r="H207" s="12">
        <f>IF(A207="","",IF(COUNTIF($A$2:$A$501,A207)&gt;1,"Duplicate client ID",IF(B207="","Add client name","OK")))</f>
        <v/>
      </c>
    </row>
    <row r="208" ht="23" customHeight="1">
      <c r="A208" s="9" t="n"/>
      <c r="B208" s="10" t="n"/>
      <c r="C208" s="10" t="n"/>
      <c r="D208" s="9" t="n"/>
      <c r="E208" s="10" t="n"/>
      <c r="F208" s="12">
        <f>IF(A208="","",COUNTIF(Sales!$D$2:$D$501,A208))</f>
        <v/>
      </c>
      <c r="G208" s="13">
        <f>IF(A208="","",SUMIF(Sales!$D$2:$D$501,A208,Sales!$G$2:$G$501))</f>
        <v/>
      </c>
      <c r="H208" s="12">
        <f>IF(A208="","",IF(COUNTIF($A$2:$A$501,A208)&gt;1,"Duplicate client ID",IF(B208="","Add client name","OK")))</f>
        <v/>
      </c>
    </row>
    <row r="209" ht="23" customHeight="1">
      <c r="A209" s="14" t="n"/>
      <c r="B209" s="15" t="n"/>
      <c r="C209" s="15" t="n"/>
      <c r="D209" s="14" t="n"/>
      <c r="E209" s="15" t="n"/>
      <c r="F209" s="12">
        <f>IF(A209="","",COUNTIF(Sales!$D$2:$D$501,A209))</f>
        <v/>
      </c>
      <c r="G209" s="13">
        <f>IF(A209="","",SUMIF(Sales!$D$2:$D$501,A209,Sales!$G$2:$G$501))</f>
        <v/>
      </c>
      <c r="H209" s="12">
        <f>IF(A209="","",IF(COUNTIF($A$2:$A$501,A209)&gt;1,"Duplicate client ID",IF(B209="","Add client name","OK")))</f>
        <v/>
      </c>
    </row>
    <row r="210" ht="23" customHeight="1">
      <c r="A210" s="9" t="n"/>
      <c r="B210" s="10" t="n"/>
      <c r="C210" s="10" t="n"/>
      <c r="D210" s="9" t="n"/>
      <c r="E210" s="10" t="n"/>
      <c r="F210" s="12">
        <f>IF(A210="","",COUNTIF(Sales!$D$2:$D$501,A210))</f>
        <v/>
      </c>
      <c r="G210" s="13">
        <f>IF(A210="","",SUMIF(Sales!$D$2:$D$501,A210,Sales!$G$2:$G$501))</f>
        <v/>
      </c>
      <c r="H210" s="12">
        <f>IF(A210="","",IF(COUNTIF($A$2:$A$501,A210)&gt;1,"Duplicate client ID",IF(B210="","Add client name","OK")))</f>
        <v/>
      </c>
    </row>
    <row r="211" ht="23" customHeight="1">
      <c r="A211" s="14" t="n"/>
      <c r="B211" s="15" t="n"/>
      <c r="C211" s="15" t="n"/>
      <c r="D211" s="14" t="n"/>
      <c r="E211" s="15" t="n"/>
      <c r="F211" s="12">
        <f>IF(A211="","",COUNTIF(Sales!$D$2:$D$501,A211))</f>
        <v/>
      </c>
      <c r="G211" s="13">
        <f>IF(A211="","",SUMIF(Sales!$D$2:$D$501,A211,Sales!$G$2:$G$501))</f>
        <v/>
      </c>
      <c r="H211" s="12">
        <f>IF(A211="","",IF(COUNTIF($A$2:$A$501,A211)&gt;1,"Duplicate client ID",IF(B211="","Add client name","OK")))</f>
        <v/>
      </c>
    </row>
    <row r="212" ht="23" customHeight="1">
      <c r="A212" s="9" t="n"/>
      <c r="B212" s="10" t="n"/>
      <c r="C212" s="10" t="n"/>
      <c r="D212" s="9" t="n"/>
      <c r="E212" s="10" t="n"/>
      <c r="F212" s="12">
        <f>IF(A212="","",COUNTIF(Sales!$D$2:$D$501,A212))</f>
        <v/>
      </c>
      <c r="G212" s="13">
        <f>IF(A212="","",SUMIF(Sales!$D$2:$D$501,A212,Sales!$G$2:$G$501))</f>
        <v/>
      </c>
      <c r="H212" s="12">
        <f>IF(A212="","",IF(COUNTIF($A$2:$A$501,A212)&gt;1,"Duplicate client ID",IF(B212="","Add client name","OK")))</f>
        <v/>
      </c>
    </row>
    <row r="213" ht="23" customHeight="1">
      <c r="A213" s="14" t="n"/>
      <c r="B213" s="15" t="n"/>
      <c r="C213" s="15" t="n"/>
      <c r="D213" s="14" t="n"/>
      <c r="E213" s="15" t="n"/>
      <c r="F213" s="12">
        <f>IF(A213="","",COUNTIF(Sales!$D$2:$D$501,A213))</f>
        <v/>
      </c>
      <c r="G213" s="13">
        <f>IF(A213="","",SUMIF(Sales!$D$2:$D$501,A213,Sales!$G$2:$G$501))</f>
        <v/>
      </c>
      <c r="H213" s="12">
        <f>IF(A213="","",IF(COUNTIF($A$2:$A$501,A213)&gt;1,"Duplicate client ID",IF(B213="","Add client name","OK")))</f>
        <v/>
      </c>
    </row>
    <row r="214" ht="23" customHeight="1">
      <c r="A214" s="9" t="n"/>
      <c r="B214" s="10" t="n"/>
      <c r="C214" s="10" t="n"/>
      <c r="D214" s="9" t="n"/>
      <c r="E214" s="10" t="n"/>
      <c r="F214" s="12">
        <f>IF(A214="","",COUNTIF(Sales!$D$2:$D$501,A214))</f>
        <v/>
      </c>
      <c r="G214" s="13">
        <f>IF(A214="","",SUMIF(Sales!$D$2:$D$501,A214,Sales!$G$2:$G$501))</f>
        <v/>
      </c>
      <c r="H214" s="12">
        <f>IF(A214="","",IF(COUNTIF($A$2:$A$501,A214)&gt;1,"Duplicate client ID",IF(B214="","Add client name","OK")))</f>
        <v/>
      </c>
    </row>
    <row r="215" ht="23" customHeight="1">
      <c r="A215" s="14" t="n"/>
      <c r="B215" s="15" t="n"/>
      <c r="C215" s="15" t="n"/>
      <c r="D215" s="14" t="n"/>
      <c r="E215" s="15" t="n"/>
      <c r="F215" s="12">
        <f>IF(A215="","",COUNTIF(Sales!$D$2:$D$501,A215))</f>
        <v/>
      </c>
      <c r="G215" s="13">
        <f>IF(A215="","",SUMIF(Sales!$D$2:$D$501,A215,Sales!$G$2:$G$501))</f>
        <v/>
      </c>
      <c r="H215" s="12">
        <f>IF(A215="","",IF(COUNTIF($A$2:$A$501,A215)&gt;1,"Duplicate client ID",IF(B215="","Add client name","OK")))</f>
        <v/>
      </c>
    </row>
    <row r="216" ht="23" customHeight="1">
      <c r="A216" s="9" t="n"/>
      <c r="B216" s="10" t="n"/>
      <c r="C216" s="10" t="n"/>
      <c r="D216" s="9" t="n"/>
      <c r="E216" s="10" t="n"/>
      <c r="F216" s="12">
        <f>IF(A216="","",COUNTIF(Sales!$D$2:$D$501,A216))</f>
        <v/>
      </c>
      <c r="G216" s="13">
        <f>IF(A216="","",SUMIF(Sales!$D$2:$D$501,A216,Sales!$G$2:$G$501))</f>
        <v/>
      </c>
      <c r="H216" s="12">
        <f>IF(A216="","",IF(COUNTIF($A$2:$A$501,A216)&gt;1,"Duplicate client ID",IF(B216="","Add client name","OK")))</f>
        <v/>
      </c>
    </row>
    <row r="217" ht="23" customHeight="1">
      <c r="A217" s="14" t="n"/>
      <c r="B217" s="15" t="n"/>
      <c r="C217" s="15" t="n"/>
      <c r="D217" s="14" t="n"/>
      <c r="E217" s="15" t="n"/>
      <c r="F217" s="12">
        <f>IF(A217="","",COUNTIF(Sales!$D$2:$D$501,A217))</f>
        <v/>
      </c>
      <c r="G217" s="13">
        <f>IF(A217="","",SUMIF(Sales!$D$2:$D$501,A217,Sales!$G$2:$G$501))</f>
        <v/>
      </c>
      <c r="H217" s="12">
        <f>IF(A217="","",IF(COUNTIF($A$2:$A$501,A217)&gt;1,"Duplicate client ID",IF(B217="","Add client name","OK")))</f>
        <v/>
      </c>
    </row>
    <row r="218" ht="23" customHeight="1">
      <c r="A218" s="9" t="n"/>
      <c r="B218" s="10" t="n"/>
      <c r="C218" s="10" t="n"/>
      <c r="D218" s="9" t="n"/>
      <c r="E218" s="10" t="n"/>
      <c r="F218" s="12">
        <f>IF(A218="","",COUNTIF(Sales!$D$2:$D$501,A218))</f>
        <v/>
      </c>
      <c r="G218" s="13">
        <f>IF(A218="","",SUMIF(Sales!$D$2:$D$501,A218,Sales!$G$2:$G$501))</f>
        <v/>
      </c>
      <c r="H218" s="12">
        <f>IF(A218="","",IF(COUNTIF($A$2:$A$501,A218)&gt;1,"Duplicate client ID",IF(B218="","Add client name","OK")))</f>
        <v/>
      </c>
    </row>
    <row r="219" ht="23" customHeight="1">
      <c r="A219" s="14" t="n"/>
      <c r="B219" s="15" t="n"/>
      <c r="C219" s="15" t="n"/>
      <c r="D219" s="14" t="n"/>
      <c r="E219" s="15" t="n"/>
      <c r="F219" s="12">
        <f>IF(A219="","",COUNTIF(Sales!$D$2:$D$501,A219))</f>
        <v/>
      </c>
      <c r="G219" s="13">
        <f>IF(A219="","",SUMIF(Sales!$D$2:$D$501,A219,Sales!$G$2:$G$501))</f>
        <v/>
      </c>
      <c r="H219" s="12">
        <f>IF(A219="","",IF(COUNTIF($A$2:$A$501,A219)&gt;1,"Duplicate client ID",IF(B219="","Add client name","OK")))</f>
        <v/>
      </c>
    </row>
    <row r="220" ht="23" customHeight="1">
      <c r="A220" s="9" t="n"/>
      <c r="B220" s="10" t="n"/>
      <c r="C220" s="10" t="n"/>
      <c r="D220" s="9" t="n"/>
      <c r="E220" s="10" t="n"/>
      <c r="F220" s="12">
        <f>IF(A220="","",COUNTIF(Sales!$D$2:$D$501,A220))</f>
        <v/>
      </c>
      <c r="G220" s="13">
        <f>IF(A220="","",SUMIF(Sales!$D$2:$D$501,A220,Sales!$G$2:$G$501))</f>
        <v/>
      </c>
      <c r="H220" s="12">
        <f>IF(A220="","",IF(COUNTIF($A$2:$A$501,A220)&gt;1,"Duplicate client ID",IF(B220="","Add client name","OK")))</f>
        <v/>
      </c>
    </row>
    <row r="221" ht="23" customHeight="1">
      <c r="A221" s="14" t="n"/>
      <c r="B221" s="15" t="n"/>
      <c r="C221" s="15" t="n"/>
      <c r="D221" s="14" t="n"/>
      <c r="E221" s="15" t="n"/>
      <c r="F221" s="12">
        <f>IF(A221="","",COUNTIF(Sales!$D$2:$D$501,A221))</f>
        <v/>
      </c>
      <c r="G221" s="13">
        <f>IF(A221="","",SUMIF(Sales!$D$2:$D$501,A221,Sales!$G$2:$G$501))</f>
        <v/>
      </c>
      <c r="H221" s="12">
        <f>IF(A221="","",IF(COUNTIF($A$2:$A$501,A221)&gt;1,"Duplicate client ID",IF(B221="","Add client name","OK")))</f>
        <v/>
      </c>
    </row>
    <row r="222" ht="23" customHeight="1">
      <c r="A222" s="9" t="n"/>
      <c r="B222" s="10" t="n"/>
      <c r="C222" s="10" t="n"/>
      <c r="D222" s="9" t="n"/>
      <c r="E222" s="10" t="n"/>
      <c r="F222" s="12">
        <f>IF(A222="","",COUNTIF(Sales!$D$2:$D$501,A222))</f>
        <v/>
      </c>
      <c r="G222" s="13">
        <f>IF(A222="","",SUMIF(Sales!$D$2:$D$501,A222,Sales!$G$2:$G$501))</f>
        <v/>
      </c>
      <c r="H222" s="12">
        <f>IF(A222="","",IF(COUNTIF($A$2:$A$501,A222)&gt;1,"Duplicate client ID",IF(B222="","Add client name","OK")))</f>
        <v/>
      </c>
    </row>
    <row r="223" ht="23" customHeight="1">
      <c r="A223" s="14" t="n"/>
      <c r="B223" s="15" t="n"/>
      <c r="C223" s="15" t="n"/>
      <c r="D223" s="14" t="n"/>
      <c r="E223" s="15" t="n"/>
      <c r="F223" s="12">
        <f>IF(A223="","",COUNTIF(Sales!$D$2:$D$501,A223))</f>
        <v/>
      </c>
      <c r="G223" s="13">
        <f>IF(A223="","",SUMIF(Sales!$D$2:$D$501,A223,Sales!$G$2:$G$501))</f>
        <v/>
      </c>
      <c r="H223" s="12">
        <f>IF(A223="","",IF(COUNTIF($A$2:$A$501,A223)&gt;1,"Duplicate client ID",IF(B223="","Add client name","OK")))</f>
        <v/>
      </c>
    </row>
    <row r="224" ht="23" customHeight="1">
      <c r="A224" s="9" t="n"/>
      <c r="B224" s="10" t="n"/>
      <c r="C224" s="10" t="n"/>
      <c r="D224" s="9" t="n"/>
      <c r="E224" s="10" t="n"/>
      <c r="F224" s="12">
        <f>IF(A224="","",COUNTIF(Sales!$D$2:$D$501,A224))</f>
        <v/>
      </c>
      <c r="G224" s="13">
        <f>IF(A224="","",SUMIF(Sales!$D$2:$D$501,A224,Sales!$G$2:$G$501))</f>
        <v/>
      </c>
      <c r="H224" s="12">
        <f>IF(A224="","",IF(COUNTIF($A$2:$A$501,A224)&gt;1,"Duplicate client ID",IF(B224="","Add client name","OK")))</f>
        <v/>
      </c>
    </row>
    <row r="225" ht="23" customHeight="1">
      <c r="A225" s="14" t="n"/>
      <c r="B225" s="15" t="n"/>
      <c r="C225" s="15" t="n"/>
      <c r="D225" s="14" t="n"/>
      <c r="E225" s="15" t="n"/>
      <c r="F225" s="12">
        <f>IF(A225="","",COUNTIF(Sales!$D$2:$D$501,A225))</f>
        <v/>
      </c>
      <c r="G225" s="13">
        <f>IF(A225="","",SUMIF(Sales!$D$2:$D$501,A225,Sales!$G$2:$G$501))</f>
        <v/>
      </c>
      <c r="H225" s="12">
        <f>IF(A225="","",IF(COUNTIF($A$2:$A$501,A225)&gt;1,"Duplicate client ID",IF(B225="","Add client name","OK")))</f>
        <v/>
      </c>
    </row>
    <row r="226" ht="23" customHeight="1">
      <c r="A226" s="9" t="n"/>
      <c r="B226" s="10" t="n"/>
      <c r="C226" s="10" t="n"/>
      <c r="D226" s="9" t="n"/>
      <c r="E226" s="10" t="n"/>
      <c r="F226" s="12">
        <f>IF(A226="","",COUNTIF(Sales!$D$2:$D$501,A226))</f>
        <v/>
      </c>
      <c r="G226" s="13">
        <f>IF(A226="","",SUMIF(Sales!$D$2:$D$501,A226,Sales!$G$2:$G$501))</f>
        <v/>
      </c>
      <c r="H226" s="12">
        <f>IF(A226="","",IF(COUNTIF($A$2:$A$501,A226)&gt;1,"Duplicate client ID",IF(B226="","Add client name","OK")))</f>
        <v/>
      </c>
    </row>
    <row r="227" ht="23" customHeight="1">
      <c r="A227" s="14" t="n"/>
      <c r="B227" s="15" t="n"/>
      <c r="C227" s="15" t="n"/>
      <c r="D227" s="14" t="n"/>
      <c r="E227" s="15" t="n"/>
      <c r="F227" s="12">
        <f>IF(A227="","",COUNTIF(Sales!$D$2:$D$501,A227))</f>
        <v/>
      </c>
      <c r="G227" s="13">
        <f>IF(A227="","",SUMIF(Sales!$D$2:$D$501,A227,Sales!$G$2:$G$501))</f>
        <v/>
      </c>
      <c r="H227" s="12">
        <f>IF(A227="","",IF(COUNTIF($A$2:$A$501,A227)&gt;1,"Duplicate client ID",IF(B227="","Add client name","OK")))</f>
        <v/>
      </c>
    </row>
    <row r="228" ht="23" customHeight="1">
      <c r="A228" s="9" t="n"/>
      <c r="B228" s="10" t="n"/>
      <c r="C228" s="10" t="n"/>
      <c r="D228" s="9" t="n"/>
      <c r="E228" s="10" t="n"/>
      <c r="F228" s="12">
        <f>IF(A228="","",COUNTIF(Sales!$D$2:$D$501,A228))</f>
        <v/>
      </c>
      <c r="G228" s="13">
        <f>IF(A228="","",SUMIF(Sales!$D$2:$D$501,A228,Sales!$G$2:$G$501))</f>
        <v/>
      </c>
      <c r="H228" s="12">
        <f>IF(A228="","",IF(COUNTIF($A$2:$A$501,A228)&gt;1,"Duplicate client ID",IF(B228="","Add client name","OK")))</f>
        <v/>
      </c>
    </row>
    <row r="229" ht="23" customHeight="1">
      <c r="A229" s="14" t="n"/>
      <c r="B229" s="15" t="n"/>
      <c r="C229" s="15" t="n"/>
      <c r="D229" s="14" t="n"/>
      <c r="E229" s="15" t="n"/>
      <c r="F229" s="12">
        <f>IF(A229="","",COUNTIF(Sales!$D$2:$D$501,A229))</f>
        <v/>
      </c>
      <c r="G229" s="13">
        <f>IF(A229="","",SUMIF(Sales!$D$2:$D$501,A229,Sales!$G$2:$G$501))</f>
        <v/>
      </c>
      <c r="H229" s="12">
        <f>IF(A229="","",IF(COUNTIF($A$2:$A$501,A229)&gt;1,"Duplicate client ID",IF(B229="","Add client name","OK")))</f>
        <v/>
      </c>
    </row>
    <row r="230" ht="23" customHeight="1">
      <c r="A230" s="9" t="n"/>
      <c r="B230" s="10" t="n"/>
      <c r="C230" s="10" t="n"/>
      <c r="D230" s="9" t="n"/>
      <c r="E230" s="10" t="n"/>
      <c r="F230" s="12">
        <f>IF(A230="","",COUNTIF(Sales!$D$2:$D$501,A230))</f>
        <v/>
      </c>
      <c r="G230" s="13">
        <f>IF(A230="","",SUMIF(Sales!$D$2:$D$501,A230,Sales!$G$2:$G$501))</f>
        <v/>
      </c>
      <c r="H230" s="12">
        <f>IF(A230="","",IF(COUNTIF($A$2:$A$501,A230)&gt;1,"Duplicate client ID",IF(B230="","Add client name","OK")))</f>
        <v/>
      </c>
    </row>
    <row r="231" ht="23" customHeight="1">
      <c r="A231" s="14" t="n"/>
      <c r="B231" s="15" t="n"/>
      <c r="C231" s="15" t="n"/>
      <c r="D231" s="14" t="n"/>
      <c r="E231" s="15" t="n"/>
      <c r="F231" s="12">
        <f>IF(A231="","",COUNTIF(Sales!$D$2:$D$501,A231))</f>
        <v/>
      </c>
      <c r="G231" s="13">
        <f>IF(A231="","",SUMIF(Sales!$D$2:$D$501,A231,Sales!$G$2:$G$501))</f>
        <v/>
      </c>
      <c r="H231" s="12">
        <f>IF(A231="","",IF(COUNTIF($A$2:$A$501,A231)&gt;1,"Duplicate client ID",IF(B231="","Add client name","OK")))</f>
        <v/>
      </c>
    </row>
    <row r="232" ht="23" customHeight="1">
      <c r="A232" s="9" t="n"/>
      <c r="B232" s="10" t="n"/>
      <c r="C232" s="10" t="n"/>
      <c r="D232" s="9" t="n"/>
      <c r="E232" s="10" t="n"/>
      <c r="F232" s="12">
        <f>IF(A232="","",COUNTIF(Sales!$D$2:$D$501,A232))</f>
        <v/>
      </c>
      <c r="G232" s="13">
        <f>IF(A232="","",SUMIF(Sales!$D$2:$D$501,A232,Sales!$G$2:$G$501))</f>
        <v/>
      </c>
      <c r="H232" s="12">
        <f>IF(A232="","",IF(COUNTIF($A$2:$A$501,A232)&gt;1,"Duplicate client ID",IF(B232="","Add client name","OK")))</f>
        <v/>
      </c>
    </row>
    <row r="233" ht="23" customHeight="1">
      <c r="A233" s="14" t="n"/>
      <c r="B233" s="15" t="n"/>
      <c r="C233" s="15" t="n"/>
      <c r="D233" s="14" t="n"/>
      <c r="E233" s="15" t="n"/>
      <c r="F233" s="12">
        <f>IF(A233="","",COUNTIF(Sales!$D$2:$D$501,A233))</f>
        <v/>
      </c>
      <c r="G233" s="13">
        <f>IF(A233="","",SUMIF(Sales!$D$2:$D$501,A233,Sales!$G$2:$G$501))</f>
        <v/>
      </c>
      <c r="H233" s="12">
        <f>IF(A233="","",IF(COUNTIF($A$2:$A$501,A233)&gt;1,"Duplicate client ID",IF(B233="","Add client name","OK")))</f>
        <v/>
      </c>
    </row>
    <row r="234" ht="23" customHeight="1">
      <c r="A234" s="9" t="n"/>
      <c r="B234" s="10" t="n"/>
      <c r="C234" s="10" t="n"/>
      <c r="D234" s="9" t="n"/>
      <c r="E234" s="10" t="n"/>
      <c r="F234" s="12">
        <f>IF(A234="","",COUNTIF(Sales!$D$2:$D$501,A234))</f>
        <v/>
      </c>
      <c r="G234" s="13">
        <f>IF(A234="","",SUMIF(Sales!$D$2:$D$501,A234,Sales!$G$2:$G$501))</f>
        <v/>
      </c>
      <c r="H234" s="12">
        <f>IF(A234="","",IF(COUNTIF($A$2:$A$501,A234)&gt;1,"Duplicate client ID",IF(B234="","Add client name","OK")))</f>
        <v/>
      </c>
    </row>
    <row r="235" ht="23" customHeight="1">
      <c r="A235" s="14" t="n"/>
      <c r="B235" s="15" t="n"/>
      <c r="C235" s="15" t="n"/>
      <c r="D235" s="14" t="n"/>
      <c r="E235" s="15" t="n"/>
      <c r="F235" s="12">
        <f>IF(A235="","",COUNTIF(Sales!$D$2:$D$501,A235))</f>
        <v/>
      </c>
      <c r="G235" s="13">
        <f>IF(A235="","",SUMIF(Sales!$D$2:$D$501,A235,Sales!$G$2:$G$501))</f>
        <v/>
      </c>
      <c r="H235" s="12">
        <f>IF(A235="","",IF(COUNTIF($A$2:$A$501,A235)&gt;1,"Duplicate client ID",IF(B235="","Add client name","OK")))</f>
        <v/>
      </c>
    </row>
    <row r="236" ht="23" customHeight="1">
      <c r="A236" s="9" t="n"/>
      <c r="B236" s="10" t="n"/>
      <c r="C236" s="10" t="n"/>
      <c r="D236" s="9" t="n"/>
      <c r="E236" s="10" t="n"/>
      <c r="F236" s="12">
        <f>IF(A236="","",COUNTIF(Sales!$D$2:$D$501,A236))</f>
        <v/>
      </c>
      <c r="G236" s="13">
        <f>IF(A236="","",SUMIF(Sales!$D$2:$D$501,A236,Sales!$G$2:$G$501))</f>
        <v/>
      </c>
      <c r="H236" s="12">
        <f>IF(A236="","",IF(COUNTIF($A$2:$A$501,A236)&gt;1,"Duplicate client ID",IF(B236="","Add client name","OK")))</f>
        <v/>
      </c>
    </row>
    <row r="237" ht="23" customHeight="1">
      <c r="A237" s="14" t="n"/>
      <c r="B237" s="15" t="n"/>
      <c r="C237" s="15" t="n"/>
      <c r="D237" s="14" t="n"/>
      <c r="E237" s="15" t="n"/>
      <c r="F237" s="12">
        <f>IF(A237="","",COUNTIF(Sales!$D$2:$D$501,A237))</f>
        <v/>
      </c>
      <c r="G237" s="13">
        <f>IF(A237="","",SUMIF(Sales!$D$2:$D$501,A237,Sales!$G$2:$G$501))</f>
        <v/>
      </c>
      <c r="H237" s="12">
        <f>IF(A237="","",IF(COUNTIF($A$2:$A$501,A237)&gt;1,"Duplicate client ID",IF(B237="","Add client name","OK")))</f>
        <v/>
      </c>
    </row>
    <row r="238" ht="23" customHeight="1">
      <c r="A238" s="9" t="n"/>
      <c r="B238" s="10" t="n"/>
      <c r="C238" s="10" t="n"/>
      <c r="D238" s="9" t="n"/>
      <c r="E238" s="10" t="n"/>
      <c r="F238" s="12">
        <f>IF(A238="","",COUNTIF(Sales!$D$2:$D$501,A238))</f>
        <v/>
      </c>
      <c r="G238" s="13">
        <f>IF(A238="","",SUMIF(Sales!$D$2:$D$501,A238,Sales!$G$2:$G$501))</f>
        <v/>
      </c>
      <c r="H238" s="12">
        <f>IF(A238="","",IF(COUNTIF($A$2:$A$501,A238)&gt;1,"Duplicate client ID",IF(B238="","Add client name","OK")))</f>
        <v/>
      </c>
    </row>
    <row r="239" ht="23" customHeight="1">
      <c r="A239" s="14" t="n"/>
      <c r="B239" s="15" t="n"/>
      <c r="C239" s="15" t="n"/>
      <c r="D239" s="14" t="n"/>
      <c r="E239" s="15" t="n"/>
      <c r="F239" s="12">
        <f>IF(A239="","",COUNTIF(Sales!$D$2:$D$501,A239))</f>
        <v/>
      </c>
      <c r="G239" s="13">
        <f>IF(A239="","",SUMIF(Sales!$D$2:$D$501,A239,Sales!$G$2:$G$501))</f>
        <v/>
      </c>
      <c r="H239" s="12">
        <f>IF(A239="","",IF(COUNTIF($A$2:$A$501,A239)&gt;1,"Duplicate client ID",IF(B239="","Add client name","OK")))</f>
        <v/>
      </c>
    </row>
    <row r="240" ht="23" customHeight="1">
      <c r="A240" s="9" t="n"/>
      <c r="B240" s="10" t="n"/>
      <c r="C240" s="10" t="n"/>
      <c r="D240" s="9" t="n"/>
      <c r="E240" s="10" t="n"/>
      <c r="F240" s="12">
        <f>IF(A240="","",COUNTIF(Sales!$D$2:$D$501,A240))</f>
        <v/>
      </c>
      <c r="G240" s="13">
        <f>IF(A240="","",SUMIF(Sales!$D$2:$D$501,A240,Sales!$G$2:$G$501))</f>
        <v/>
      </c>
      <c r="H240" s="12">
        <f>IF(A240="","",IF(COUNTIF($A$2:$A$501,A240)&gt;1,"Duplicate client ID",IF(B240="","Add client name","OK")))</f>
        <v/>
      </c>
    </row>
    <row r="241" ht="23" customHeight="1">
      <c r="A241" s="14" t="n"/>
      <c r="B241" s="15" t="n"/>
      <c r="C241" s="15" t="n"/>
      <c r="D241" s="14" t="n"/>
      <c r="E241" s="15" t="n"/>
      <c r="F241" s="12">
        <f>IF(A241="","",COUNTIF(Sales!$D$2:$D$501,A241))</f>
        <v/>
      </c>
      <c r="G241" s="13">
        <f>IF(A241="","",SUMIF(Sales!$D$2:$D$501,A241,Sales!$G$2:$G$501))</f>
        <v/>
      </c>
      <c r="H241" s="12">
        <f>IF(A241="","",IF(COUNTIF($A$2:$A$501,A241)&gt;1,"Duplicate client ID",IF(B241="","Add client name","OK")))</f>
        <v/>
      </c>
    </row>
    <row r="242" ht="23" customHeight="1">
      <c r="A242" s="9" t="n"/>
      <c r="B242" s="10" t="n"/>
      <c r="C242" s="10" t="n"/>
      <c r="D242" s="9" t="n"/>
      <c r="E242" s="10" t="n"/>
      <c r="F242" s="12">
        <f>IF(A242="","",COUNTIF(Sales!$D$2:$D$501,A242))</f>
        <v/>
      </c>
      <c r="G242" s="13">
        <f>IF(A242="","",SUMIF(Sales!$D$2:$D$501,A242,Sales!$G$2:$G$501))</f>
        <v/>
      </c>
      <c r="H242" s="12">
        <f>IF(A242="","",IF(COUNTIF($A$2:$A$501,A242)&gt;1,"Duplicate client ID",IF(B242="","Add client name","OK")))</f>
        <v/>
      </c>
    </row>
    <row r="243" ht="23" customHeight="1">
      <c r="A243" s="14" t="n"/>
      <c r="B243" s="15" t="n"/>
      <c r="C243" s="15" t="n"/>
      <c r="D243" s="14" t="n"/>
      <c r="E243" s="15" t="n"/>
      <c r="F243" s="12">
        <f>IF(A243="","",COUNTIF(Sales!$D$2:$D$501,A243))</f>
        <v/>
      </c>
      <c r="G243" s="13">
        <f>IF(A243="","",SUMIF(Sales!$D$2:$D$501,A243,Sales!$G$2:$G$501))</f>
        <v/>
      </c>
      <c r="H243" s="12">
        <f>IF(A243="","",IF(COUNTIF($A$2:$A$501,A243)&gt;1,"Duplicate client ID",IF(B243="","Add client name","OK")))</f>
        <v/>
      </c>
    </row>
    <row r="244" ht="23" customHeight="1">
      <c r="A244" s="9" t="n"/>
      <c r="B244" s="10" t="n"/>
      <c r="C244" s="10" t="n"/>
      <c r="D244" s="9" t="n"/>
      <c r="E244" s="10" t="n"/>
      <c r="F244" s="12">
        <f>IF(A244="","",COUNTIF(Sales!$D$2:$D$501,A244))</f>
        <v/>
      </c>
      <c r="G244" s="13">
        <f>IF(A244="","",SUMIF(Sales!$D$2:$D$501,A244,Sales!$G$2:$G$501))</f>
        <v/>
      </c>
      <c r="H244" s="12">
        <f>IF(A244="","",IF(COUNTIF($A$2:$A$501,A244)&gt;1,"Duplicate client ID",IF(B244="","Add client name","OK")))</f>
        <v/>
      </c>
    </row>
    <row r="245" ht="23" customHeight="1">
      <c r="A245" s="14" t="n"/>
      <c r="B245" s="15" t="n"/>
      <c r="C245" s="15" t="n"/>
      <c r="D245" s="14" t="n"/>
      <c r="E245" s="15" t="n"/>
      <c r="F245" s="12">
        <f>IF(A245="","",COUNTIF(Sales!$D$2:$D$501,A245))</f>
        <v/>
      </c>
      <c r="G245" s="13">
        <f>IF(A245="","",SUMIF(Sales!$D$2:$D$501,A245,Sales!$G$2:$G$501))</f>
        <v/>
      </c>
      <c r="H245" s="12">
        <f>IF(A245="","",IF(COUNTIF($A$2:$A$501,A245)&gt;1,"Duplicate client ID",IF(B245="","Add client name","OK")))</f>
        <v/>
      </c>
    </row>
    <row r="246" ht="23" customHeight="1">
      <c r="A246" s="9" t="n"/>
      <c r="B246" s="10" t="n"/>
      <c r="C246" s="10" t="n"/>
      <c r="D246" s="9" t="n"/>
      <c r="E246" s="10" t="n"/>
      <c r="F246" s="12">
        <f>IF(A246="","",COUNTIF(Sales!$D$2:$D$501,A246))</f>
        <v/>
      </c>
      <c r="G246" s="13">
        <f>IF(A246="","",SUMIF(Sales!$D$2:$D$501,A246,Sales!$G$2:$G$501))</f>
        <v/>
      </c>
      <c r="H246" s="12">
        <f>IF(A246="","",IF(COUNTIF($A$2:$A$501,A246)&gt;1,"Duplicate client ID",IF(B246="","Add client name","OK")))</f>
        <v/>
      </c>
    </row>
    <row r="247" ht="23" customHeight="1">
      <c r="A247" s="14" t="n"/>
      <c r="B247" s="15" t="n"/>
      <c r="C247" s="15" t="n"/>
      <c r="D247" s="14" t="n"/>
      <c r="E247" s="15" t="n"/>
      <c r="F247" s="12">
        <f>IF(A247="","",COUNTIF(Sales!$D$2:$D$501,A247))</f>
        <v/>
      </c>
      <c r="G247" s="13">
        <f>IF(A247="","",SUMIF(Sales!$D$2:$D$501,A247,Sales!$G$2:$G$501))</f>
        <v/>
      </c>
      <c r="H247" s="12">
        <f>IF(A247="","",IF(COUNTIF($A$2:$A$501,A247)&gt;1,"Duplicate client ID",IF(B247="","Add client name","OK")))</f>
        <v/>
      </c>
    </row>
    <row r="248" ht="23" customHeight="1">
      <c r="A248" s="9" t="n"/>
      <c r="B248" s="10" t="n"/>
      <c r="C248" s="10" t="n"/>
      <c r="D248" s="9" t="n"/>
      <c r="E248" s="10" t="n"/>
      <c r="F248" s="12">
        <f>IF(A248="","",COUNTIF(Sales!$D$2:$D$501,A248))</f>
        <v/>
      </c>
      <c r="G248" s="13">
        <f>IF(A248="","",SUMIF(Sales!$D$2:$D$501,A248,Sales!$G$2:$G$501))</f>
        <v/>
      </c>
      <c r="H248" s="12">
        <f>IF(A248="","",IF(COUNTIF($A$2:$A$501,A248)&gt;1,"Duplicate client ID",IF(B248="","Add client name","OK")))</f>
        <v/>
      </c>
    </row>
    <row r="249" ht="23" customHeight="1">
      <c r="A249" s="14" t="n"/>
      <c r="B249" s="15" t="n"/>
      <c r="C249" s="15" t="n"/>
      <c r="D249" s="14" t="n"/>
      <c r="E249" s="15" t="n"/>
      <c r="F249" s="12">
        <f>IF(A249="","",COUNTIF(Sales!$D$2:$D$501,A249))</f>
        <v/>
      </c>
      <c r="G249" s="13">
        <f>IF(A249="","",SUMIF(Sales!$D$2:$D$501,A249,Sales!$G$2:$G$501))</f>
        <v/>
      </c>
      <c r="H249" s="12">
        <f>IF(A249="","",IF(COUNTIF($A$2:$A$501,A249)&gt;1,"Duplicate client ID",IF(B249="","Add client name","OK")))</f>
        <v/>
      </c>
    </row>
    <row r="250" ht="23" customHeight="1">
      <c r="A250" s="9" t="n"/>
      <c r="B250" s="10" t="n"/>
      <c r="C250" s="10" t="n"/>
      <c r="D250" s="9" t="n"/>
      <c r="E250" s="10" t="n"/>
      <c r="F250" s="12">
        <f>IF(A250="","",COUNTIF(Sales!$D$2:$D$501,A250))</f>
        <v/>
      </c>
      <c r="G250" s="13">
        <f>IF(A250="","",SUMIF(Sales!$D$2:$D$501,A250,Sales!$G$2:$G$501))</f>
        <v/>
      </c>
      <c r="H250" s="12">
        <f>IF(A250="","",IF(COUNTIF($A$2:$A$501,A250)&gt;1,"Duplicate client ID",IF(B250="","Add client name","OK")))</f>
        <v/>
      </c>
    </row>
    <row r="251" ht="23" customHeight="1">
      <c r="A251" s="14" t="n"/>
      <c r="B251" s="15" t="n"/>
      <c r="C251" s="15" t="n"/>
      <c r="D251" s="14" t="n"/>
      <c r="E251" s="15" t="n"/>
      <c r="F251" s="12">
        <f>IF(A251="","",COUNTIF(Sales!$D$2:$D$501,A251))</f>
        <v/>
      </c>
      <c r="G251" s="13">
        <f>IF(A251="","",SUMIF(Sales!$D$2:$D$501,A251,Sales!$G$2:$G$501))</f>
        <v/>
      </c>
      <c r="H251" s="12">
        <f>IF(A251="","",IF(COUNTIF($A$2:$A$501,A251)&gt;1,"Duplicate client ID",IF(B251="","Add client name","OK")))</f>
        <v/>
      </c>
    </row>
    <row r="252" ht="23" customHeight="1">
      <c r="A252" s="9" t="n"/>
      <c r="B252" s="10" t="n"/>
      <c r="C252" s="10" t="n"/>
      <c r="D252" s="9" t="n"/>
      <c r="E252" s="10" t="n"/>
      <c r="F252" s="12">
        <f>IF(A252="","",COUNTIF(Sales!$D$2:$D$501,A252))</f>
        <v/>
      </c>
      <c r="G252" s="13">
        <f>IF(A252="","",SUMIF(Sales!$D$2:$D$501,A252,Sales!$G$2:$G$501))</f>
        <v/>
      </c>
      <c r="H252" s="12">
        <f>IF(A252="","",IF(COUNTIF($A$2:$A$501,A252)&gt;1,"Duplicate client ID",IF(B252="","Add client name","OK")))</f>
        <v/>
      </c>
    </row>
    <row r="253" ht="23" customHeight="1">
      <c r="A253" s="14" t="n"/>
      <c r="B253" s="15" t="n"/>
      <c r="C253" s="15" t="n"/>
      <c r="D253" s="14" t="n"/>
      <c r="E253" s="15" t="n"/>
      <c r="F253" s="12">
        <f>IF(A253="","",COUNTIF(Sales!$D$2:$D$501,A253))</f>
        <v/>
      </c>
      <c r="G253" s="13">
        <f>IF(A253="","",SUMIF(Sales!$D$2:$D$501,A253,Sales!$G$2:$G$501))</f>
        <v/>
      </c>
      <c r="H253" s="12">
        <f>IF(A253="","",IF(COUNTIF($A$2:$A$501,A253)&gt;1,"Duplicate client ID",IF(B253="","Add client name","OK")))</f>
        <v/>
      </c>
    </row>
    <row r="254" ht="23" customHeight="1">
      <c r="A254" s="9" t="n"/>
      <c r="B254" s="10" t="n"/>
      <c r="C254" s="10" t="n"/>
      <c r="D254" s="9" t="n"/>
      <c r="E254" s="10" t="n"/>
      <c r="F254" s="12">
        <f>IF(A254="","",COUNTIF(Sales!$D$2:$D$501,A254))</f>
        <v/>
      </c>
      <c r="G254" s="13">
        <f>IF(A254="","",SUMIF(Sales!$D$2:$D$501,A254,Sales!$G$2:$G$501))</f>
        <v/>
      </c>
      <c r="H254" s="12">
        <f>IF(A254="","",IF(COUNTIF($A$2:$A$501,A254)&gt;1,"Duplicate client ID",IF(B254="","Add client name","OK")))</f>
        <v/>
      </c>
    </row>
    <row r="255" ht="23" customHeight="1">
      <c r="A255" s="14" t="n"/>
      <c r="B255" s="15" t="n"/>
      <c r="C255" s="15" t="n"/>
      <c r="D255" s="14" t="n"/>
      <c r="E255" s="15" t="n"/>
      <c r="F255" s="12">
        <f>IF(A255="","",COUNTIF(Sales!$D$2:$D$501,A255))</f>
        <v/>
      </c>
      <c r="G255" s="13">
        <f>IF(A255="","",SUMIF(Sales!$D$2:$D$501,A255,Sales!$G$2:$G$501))</f>
        <v/>
      </c>
      <c r="H255" s="12">
        <f>IF(A255="","",IF(COUNTIF($A$2:$A$501,A255)&gt;1,"Duplicate client ID",IF(B255="","Add client name","OK")))</f>
        <v/>
      </c>
    </row>
    <row r="256" ht="23" customHeight="1">
      <c r="A256" s="9" t="n"/>
      <c r="B256" s="10" t="n"/>
      <c r="C256" s="10" t="n"/>
      <c r="D256" s="9" t="n"/>
      <c r="E256" s="10" t="n"/>
      <c r="F256" s="12">
        <f>IF(A256="","",COUNTIF(Sales!$D$2:$D$501,A256))</f>
        <v/>
      </c>
      <c r="G256" s="13">
        <f>IF(A256="","",SUMIF(Sales!$D$2:$D$501,A256,Sales!$G$2:$G$501))</f>
        <v/>
      </c>
      <c r="H256" s="12">
        <f>IF(A256="","",IF(COUNTIF($A$2:$A$501,A256)&gt;1,"Duplicate client ID",IF(B256="","Add client name","OK")))</f>
        <v/>
      </c>
    </row>
    <row r="257" ht="23" customHeight="1">
      <c r="A257" s="14" t="n"/>
      <c r="B257" s="15" t="n"/>
      <c r="C257" s="15" t="n"/>
      <c r="D257" s="14" t="n"/>
      <c r="E257" s="15" t="n"/>
      <c r="F257" s="12">
        <f>IF(A257="","",COUNTIF(Sales!$D$2:$D$501,A257))</f>
        <v/>
      </c>
      <c r="G257" s="13">
        <f>IF(A257="","",SUMIF(Sales!$D$2:$D$501,A257,Sales!$G$2:$G$501))</f>
        <v/>
      </c>
      <c r="H257" s="12">
        <f>IF(A257="","",IF(COUNTIF($A$2:$A$501,A257)&gt;1,"Duplicate client ID",IF(B257="","Add client name","OK")))</f>
        <v/>
      </c>
    </row>
    <row r="258" ht="23" customHeight="1">
      <c r="A258" s="9" t="n"/>
      <c r="B258" s="10" t="n"/>
      <c r="C258" s="10" t="n"/>
      <c r="D258" s="9" t="n"/>
      <c r="E258" s="10" t="n"/>
      <c r="F258" s="12">
        <f>IF(A258="","",COUNTIF(Sales!$D$2:$D$501,A258))</f>
        <v/>
      </c>
      <c r="G258" s="13">
        <f>IF(A258="","",SUMIF(Sales!$D$2:$D$501,A258,Sales!$G$2:$G$501))</f>
        <v/>
      </c>
      <c r="H258" s="12">
        <f>IF(A258="","",IF(COUNTIF($A$2:$A$501,A258)&gt;1,"Duplicate client ID",IF(B258="","Add client name","OK")))</f>
        <v/>
      </c>
    </row>
    <row r="259" ht="23" customHeight="1">
      <c r="A259" s="14" t="n"/>
      <c r="B259" s="15" t="n"/>
      <c r="C259" s="15" t="n"/>
      <c r="D259" s="14" t="n"/>
      <c r="E259" s="15" t="n"/>
      <c r="F259" s="12">
        <f>IF(A259="","",COUNTIF(Sales!$D$2:$D$501,A259))</f>
        <v/>
      </c>
      <c r="G259" s="13">
        <f>IF(A259="","",SUMIF(Sales!$D$2:$D$501,A259,Sales!$G$2:$G$501))</f>
        <v/>
      </c>
      <c r="H259" s="12">
        <f>IF(A259="","",IF(COUNTIF($A$2:$A$501,A259)&gt;1,"Duplicate client ID",IF(B259="","Add client name","OK")))</f>
        <v/>
      </c>
    </row>
    <row r="260" ht="23" customHeight="1">
      <c r="A260" s="9" t="n"/>
      <c r="B260" s="10" t="n"/>
      <c r="C260" s="10" t="n"/>
      <c r="D260" s="9" t="n"/>
      <c r="E260" s="10" t="n"/>
      <c r="F260" s="12">
        <f>IF(A260="","",COUNTIF(Sales!$D$2:$D$501,A260))</f>
        <v/>
      </c>
      <c r="G260" s="13">
        <f>IF(A260="","",SUMIF(Sales!$D$2:$D$501,A260,Sales!$G$2:$G$501))</f>
        <v/>
      </c>
      <c r="H260" s="12">
        <f>IF(A260="","",IF(COUNTIF($A$2:$A$501,A260)&gt;1,"Duplicate client ID",IF(B260="","Add client name","OK")))</f>
        <v/>
      </c>
    </row>
    <row r="261" ht="23" customHeight="1">
      <c r="A261" s="14" t="n"/>
      <c r="B261" s="15" t="n"/>
      <c r="C261" s="15" t="n"/>
      <c r="D261" s="14" t="n"/>
      <c r="E261" s="15" t="n"/>
      <c r="F261" s="12">
        <f>IF(A261="","",COUNTIF(Sales!$D$2:$D$501,A261))</f>
        <v/>
      </c>
      <c r="G261" s="13">
        <f>IF(A261="","",SUMIF(Sales!$D$2:$D$501,A261,Sales!$G$2:$G$501))</f>
        <v/>
      </c>
      <c r="H261" s="12">
        <f>IF(A261="","",IF(COUNTIF($A$2:$A$501,A261)&gt;1,"Duplicate client ID",IF(B261="","Add client name","OK")))</f>
        <v/>
      </c>
    </row>
    <row r="262" ht="23" customHeight="1">
      <c r="A262" s="9" t="n"/>
      <c r="B262" s="10" t="n"/>
      <c r="C262" s="10" t="n"/>
      <c r="D262" s="9" t="n"/>
      <c r="E262" s="10" t="n"/>
      <c r="F262" s="12">
        <f>IF(A262="","",COUNTIF(Sales!$D$2:$D$501,A262))</f>
        <v/>
      </c>
      <c r="G262" s="13">
        <f>IF(A262="","",SUMIF(Sales!$D$2:$D$501,A262,Sales!$G$2:$G$501))</f>
        <v/>
      </c>
      <c r="H262" s="12">
        <f>IF(A262="","",IF(COUNTIF($A$2:$A$501,A262)&gt;1,"Duplicate client ID",IF(B262="","Add client name","OK")))</f>
        <v/>
      </c>
    </row>
    <row r="263" ht="23" customHeight="1">
      <c r="A263" s="14" t="n"/>
      <c r="B263" s="15" t="n"/>
      <c r="C263" s="15" t="n"/>
      <c r="D263" s="14" t="n"/>
      <c r="E263" s="15" t="n"/>
      <c r="F263" s="12">
        <f>IF(A263="","",COUNTIF(Sales!$D$2:$D$501,A263))</f>
        <v/>
      </c>
      <c r="G263" s="13">
        <f>IF(A263="","",SUMIF(Sales!$D$2:$D$501,A263,Sales!$G$2:$G$501))</f>
        <v/>
      </c>
      <c r="H263" s="12">
        <f>IF(A263="","",IF(COUNTIF($A$2:$A$501,A263)&gt;1,"Duplicate client ID",IF(B263="","Add client name","OK")))</f>
        <v/>
      </c>
    </row>
    <row r="264" ht="23" customHeight="1">
      <c r="A264" s="9" t="n"/>
      <c r="B264" s="10" t="n"/>
      <c r="C264" s="10" t="n"/>
      <c r="D264" s="9" t="n"/>
      <c r="E264" s="10" t="n"/>
      <c r="F264" s="12">
        <f>IF(A264="","",COUNTIF(Sales!$D$2:$D$501,A264))</f>
        <v/>
      </c>
      <c r="G264" s="13">
        <f>IF(A264="","",SUMIF(Sales!$D$2:$D$501,A264,Sales!$G$2:$G$501))</f>
        <v/>
      </c>
      <c r="H264" s="12">
        <f>IF(A264="","",IF(COUNTIF($A$2:$A$501,A264)&gt;1,"Duplicate client ID",IF(B264="","Add client name","OK")))</f>
        <v/>
      </c>
    </row>
    <row r="265" ht="23" customHeight="1">
      <c r="A265" s="14" t="n"/>
      <c r="B265" s="15" t="n"/>
      <c r="C265" s="15" t="n"/>
      <c r="D265" s="14" t="n"/>
      <c r="E265" s="15" t="n"/>
      <c r="F265" s="12">
        <f>IF(A265="","",COUNTIF(Sales!$D$2:$D$501,A265))</f>
        <v/>
      </c>
      <c r="G265" s="13">
        <f>IF(A265="","",SUMIF(Sales!$D$2:$D$501,A265,Sales!$G$2:$G$501))</f>
        <v/>
      </c>
      <c r="H265" s="12">
        <f>IF(A265="","",IF(COUNTIF($A$2:$A$501,A265)&gt;1,"Duplicate client ID",IF(B265="","Add client name","OK")))</f>
        <v/>
      </c>
    </row>
    <row r="266" ht="23" customHeight="1">
      <c r="A266" s="9" t="n"/>
      <c r="B266" s="10" t="n"/>
      <c r="C266" s="10" t="n"/>
      <c r="D266" s="9" t="n"/>
      <c r="E266" s="10" t="n"/>
      <c r="F266" s="12">
        <f>IF(A266="","",COUNTIF(Sales!$D$2:$D$501,A266))</f>
        <v/>
      </c>
      <c r="G266" s="13">
        <f>IF(A266="","",SUMIF(Sales!$D$2:$D$501,A266,Sales!$G$2:$G$501))</f>
        <v/>
      </c>
      <c r="H266" s="12">
        <f>IF(A266="","",IF(COUNTIF($A$2:$A$501,A266)&gt;1,"Duplicate client ID",IF(B266="","Add client name","OK")))</f>
        <v/>
      </c>
    </row>
    <row r="267" ht="23" customHeight="1">
      <c r="A267" s="14" t="n"/>
      <c r="B267" s="15" t="n"/>
      <c r="C267" s="15" t="n"/>
      <c r="D267" s="14" t="n"/>
      <c r="E267" s="15" t="n"/>
      <c r="F267" s="12">
        <f>IF(A267="","",COUNTIF(Sales!$D$2:$D$501,A267))</f>
        <v/>
      </c>
      <c r="G267" s="13">
        <f>IF(A267="","",SUMIF(Sales!$D$2:$D$501,A267,Sales!$G$2:$G$501))</f>
        <v/>
      </c>
      <c r="H267" s="12">
        <f>IF(A267="","",IF(COUNTIF($A$2:$A$501,A267)&gt;1,"Duplicate client ID",IF(B267="","Add client name","OK")))</f>
        <v/>
      </c>
    </row>
    <row r="268" ht="23" customHeight="1">
      <c r="A268" s="9" t="n"/>
      <c r="B268" s="10" t="n"/>
      <c r="C268" s="10" t="n"/>
      <c r="D268" s="9" t="n"/>
      <c r="E268" s="10" t="n"/>
      <c r="F268" s="12">
        <f>IF(A268="","",COUNTIF(Sales!$D$2:$D$501,A268))</f>
        <v/>
      </c>
      <c r="G268" s="13">
        <f>IF(A268="","",SUMIF(Sales!$D$2:$D$501,A268,Sales!$G$2:$G$501))</f>
        <v/>
      </c>
      <c r="H268" s="12">
        <f>IF(A268="","",IF(COUNTIF($A$2:$A$501,A268)&gt;1,"Duplicate client ID",IF(B268="","Add client name","OK")))</f>
        <v/>
      </c>
    </row>
    <row r="269" ht="23" customHeight="1">
      <c r="A269" s="14" t="n"/>
      <c r="B269" s="15" t="n"/>
      <c r="C269" s="15" t="n"/>
      <c r="D269" s="14" t="n"/>
      <c r="E269" s="15" t="n"/>
      <c r="F269" s="12">
        <f>IF(A269="","",COUNTIF(Sales!$D$2:$D$501,A269))</f>
        <v/>
      </c>
      <c r="G269" s="13">
        <f>IF(A269="","",SUMIF(Sales!$D$2:$D$501,A269,Sales!$G$2:$G$501))</f>
        <v/>
      </c>
      <c r="H269" s="12">
        <f>IF(A269="","",IF(COUNTIF($A$2:$A$501,A269)&gt;1,"Duplicate client ID",IF(B269="","Add client name","OK")))</f>
        <v/>
      </c>
    </row>
    <row r="270" ht="23" customHeight="1">
      <c r="A270" s="9" t="n"/>
      <c r="B270" s="10" t="n"/>
      <c r="C270" s="10" t="n"/>
      <c r="D270" s="9" t="n"/>
      <c r="E270" s="10" t="n"/>
      <c r="F270" s="12">
        <f>IF(A270="","",COUNTIF(Sales!$D$2:$D$501,A270))</f>
        <v/>
      </c>
      <c r="G270" s="13">
        <f>IF(A270="","",SUMIF(Sales!$D$2:$D$501,A270,Sales!$G$2:$G$501))</f>
        <v/>
      </c>
      <c r="H270" s="12">
        <f>IF(A270="","",IF(COUNTIF($A$2:$A$501,A270)&gt;1,"Duplicate client ID",IF(B270="","Add client name","OK")))</f>
        <v/>
      </c>
    </row>
    <row r="271" ht="23" customHeight="1">
      <c r="A271" s="14" t="n"/>
      <c r="B271" s="15" t="n"/>
      <c r="C271" s="15" t="n"/>
      <c r="D271" s="14" t="n"/>
      <c r="E271" s="15" t="n"/>
      <c r="F271" s="12">
        <f>IF(A271="","",COUNTIF(Sales!$D$2:$D$501,A271))</f>
        <v/>
      </c>
      <c r="G271" s="13">
        <f>IF(A271="","",SUMIF(Sales!$D$2:$D$501,A271,Sales!$G$2:$G$501))</f>
        <v/>
      </c>
      <c r="H271" s="12">
        <f>IF(A271="","",IF(COUNTIF($A$2:$A$501,A271)&gt;1,"Duplicate client ID",IF(B271="","Add client name","OK")))</f>
        <v/>
      </c>
    </row>
    <row r="272" ht="23" customHeight="1">
      <c r="A272" s="9" t="n"/>
      <c r="B272" s="10" t="n"/>
      <c r="C272" s="10" t="n"/>
      <c r="D272" s="9" t="n"/>
      <c r="E272" s="10" t="n"/>
      <c r="F272" s="12">
        <f>IF(A272="","",COUNTIF(Sales!$D$2:$D$501,A272))</f>
        <v/>
      </c>
      <c r="G272" s="13">
        <f>IF(A272="","",SUMIF(Sales!$D$2:$D$501,A272,Sales!$G$2:$G$501))</f>
        <v/>
      </c>
      <c r="H272" s="12">
        <f>IF(A272="","",IF(COUNTIF($A$2:$A$501,A272)&gt;1,"Duplicate client ID",IF(B272="","Add client name","OK")))</f>
        <v/>
      </c>
    </row>
    <row r="273" ht="23" customHeight="1">
      <c r="A273" s="14" t="n"/>
      <c r="B273" s="15" t="n"/>
      <c r="C273" s="15" t="n"/>
      <c r="D273" s="14" t="n"/>
      <c r="E273" s="15" t="n"/>
      <c r="F273" s="12">
        <f>IF(A273="","",COUNTIF(Sales!$D$2:$D$501,A273))</f>
        <v/>
      </c>
      <c r="G273" s="13">
        <f>IF(A273="","",SUMIF(Sales!$D$2:$D$501,A273,Sales!$G$2:$G$501))</f>
        <v/>
      </c>
      <c r="H273" s="12">
        <f>IF(A273="","",IF(COUNTIF($A$2:$A$501,A273)&gt;1,"Duplicate client ID",IF(B273="","Add client name","OK")))</f>
        <v/>
      </c>
    </row>
    <row r="274" ht="23" customHeight="1">
      <c r="A274" s="9" t="n"/>
      <c r="B274" s="10" t="n"/>
      <c r="C274" s="10" t="n"/>
      <c r="D274" s="9" t="n"/>
      <c r="E274" s="10" t="n"/>
      <c r="F274" s="12">
        <f>IF(A274="","",COUNTIF(Sales!$D$2:$D$501,A274))</f>
        <v/>
      </c>
      <c r="G274" s="13">
        <f>IF(A274="","",SUMIF(Sales!$D$2:$D$501,A274,Sales!$G$2:$G$501))</f>
        <v/>
      </c>
      <c r="H274" s="12">
        <f>IF(A274="","",IF(COUNTIF($A$2:$A$501,A274)&gt;1,"Duplicate client ID",IF(B274="","Add client name","OK")))</f>
        <v/>
      </c>
    </row>
    <row r="275" ht="23" customHeight="1">
      <c r="A275" s="14" t="n"/>
      <c r="B275" s="15" t="n"/>
      <c r="C275" s="15" t="n"/>
      <c r="D275" s="14" t="n"/>
      <c r="E275" s="15" t="n"/>
      <c r="F275" s="12">
        <f>IF(A275="","",COUNTIF(Sales!$D$2:$D$501,A275))</f>
        <v/>
      </c>
      <c r="G275" s="13">
        <f>IF(A275="","",SUMIF(Sales!$D$2:$D$501,A275,Sales!$G$2:$G$501))</f>
        <v/>
      </c>
      <c r="H275" s="12">
        <f>IF(A275="","",IF(COUNTIF($A$2:$A$501,A275)&gt;1,"Duplicate client ID",IF(B275="","Add client name","OK")))</f>
        <v/>
      </c>
    </row>
    <row r="276" ht="23" customHeight="1">
      <c r="A276" s="9" t="n"/>
      <c r="B276" s="10" t="n"/>
      <c r="C276" s="10" t="n"/>
      <c r="D276" s="9" t="n"/>
      <c r="E276" s="10" t="n"/>
      <c r="F276" s="12">
        <f>IF(A276="","",COUNTIF(Sales!$D$2:$D$501,A276))</f>
        <v/>
      </c>
      <c r="G276" s="13">
        <f>IF(A276="","",SUMIF(Sales!$D$2:$D$501,A276,Sales!$G$2:$G$501))</f>
        <v/>
      </c>
      <c r="H276" s="12">
        <f>IF(A276="","",IF(COUNTIF($A$2:$A$501,A276)&gt;1,"Duplicate client ID",IF(B276="","Add client name","OK")))</f>
        <v/>
      </c>
    </row>
    <row r="277" ht="23" customHeight="1">
      <c r="A277" s="14" t="n"/>
      <c r="B277" s="15" t="n"/>
      <c r="C277" s="15" t="n"/>
      <c r="D277" s="14" t="n"/>
      <c r="E277" s="15" t="n"/>
      <c r="F277" s="12">
        <f>IF(A277="","",COUNTIF(Sales!$D$2:$D$501,A277))</f>
        <v/>
      </c>
      <c r="G277" s="13">
        <f>IF(A277="","",SUMIF(Sales!$D$2:$D$501,A277,Sales!$G$2:$G$501))</f>
        <v/>
      </c>
      <c r="H277" s="12">
        <f>IF(A277="","",IF(COUNTIF($A$2:$A$501,A277)&gt;1,"Duplicate client ID",IF(B277="","Add client name","OK")))</f>
        <v/>
      </c>
    </row>
    <row r="278" ht="23" customHeight="1">
      <c r="A278" s="9" t="n"/>
      <c r="B278" s="10" t="n"/>
      <c r="C278" s="10" t="n"/>
      <c r="D278" s="9" t="n"/>
      <c r="E278" s="10" t="n"/>
      <c r="F278" s="12">
        <f>IF(A278="","",COUNTIF(Sales!$D$2:$D$501,A278))</f>
        <v/>
      </c>
      <c r="G278" s="13">
        <f>IF(A278="","",SUMIF(Sales!$D$2:$D$501,A278,Sales!$G$2:$G$501))</f>
        <v/>
      </c>
      <c r="H278" s="12">
        <f>IF(A278="","",IF(COUNTIF($A$2:$A$501,A278)&gt;1,"Duplicate client ID",IF(B278="","Add client name","OK")))</f>
        <v/>
      </c>
    </row>
    <row r="279" ht="23" customHeight="1">
      <c r="A279" s="14" t="n"/>
      <c r="B279" s="15" t="n"/>
      <c r="C279" s="15" t="n"/>
      <c r="D279" s="14" t="n"/>
      <c r="E279" s="15" t="n"/>
      <c r="F279" s="12">
        <f>IF(A279="","",COUNTIF(Sales!$D$2:$D$501,A279))</f>
        <v/>
      </c>
      <c r="G279" s="13">
        <f>IF(A279="","",SUMIF(Sales!$D$2:$D$501,A279,Sales!$G$2:$G$501))</f>
        <v/>
      </c>
      <c r="H279" s="12">
        <f>IF(A279="","",IF(COUNTIF($A$2:$A$501,A279)&gt;1,"Duplicate client ID",IF(B279="","Add client name","OK")))</f>
        <v/>
      </c>
    </row>
    <row r="280" ht="23" customHeight="1">
      <c r="A280" s="9" t="n"/>
      <c r="B280" s="10" t="n"/>
      <c r="C280" s="10" t="n"/>
      <c r="D280" s="9" t="n"/>
      <c r="E280" s="10" t="n"/>
      <c r="F280" s="12">
        <f>IF(A280="","",COUNTIF(Sales!$D$2:$D$501,A280))</f>
        <v/>
      </c>
      <c r="G280" s="13">
        <f>IF(A280="","",SUMIF(Sales!$D$2:$D$501,A280,Sales!$G$2:$G$501))</f>
        <v/>
      </c>
      <c r="H280" s="12">
        <f>IF(A280="","",IF(COUNTIF($A$2:$A$501,A280)&gt;1,"Duplicate client ID",IF(B280="","Add client name","OK")))</f>
        <v/>
      </c>
    </row>
    <row r="281" ht="23" customHeight="1">
      <c r="A281" s="14" t="n"/>
      <c r="B281" s="15" t="n"/>
      <c r="C281" s="15" t="n"/>
      <c r="D281" s="14" t="n"/>
      <c r="E281" s="15" t="n"/>
      <c r="F281" s="12">
        <f>IF(A281="","",COUNTIF(Sales!$D$2:$D$501,A281))</f>
        <v/>
      </c>
      <c r="G281" s="13">
        <f>IF(A281="","",SUMIF(Sales!$D$2:$D$501,A281,Sales!$G$2:$G$501))</f>
        <v/>
      </c>
      <c r="H281" s="12">
        <f>IF(A281="","",IF(COUNTIF($A$2:$A$501,A281)&gt;1,"Duplicate client ID",IF(B281="","Add client name","OK")))</f>
        <v/>
      </c>
    </row>
    <row r="282" ht="23" customHeight="1">
      <c r="A282" s="9" t="n"/>
      <c r="B282" s="10" t="n"/>
      <c r="C282" s="10" t="n"/>
      <c r="D282" s="9" t="n"/>
      <c r="E282" s="10" t="n"/>
      <c r="F282" s="12">
        <f>IF(A282="","",COUNTIF(Sales!$D$2:$D$501,A282))</f>
        <v/>
      </c>
      <c r="G282" s="13">
        <f>IF(A282="","",SUMIF(Sales!$D$2:$D$501,A282,Sales!$G$2:$G$501))</f>
        <v/>
      </c>
      <c r="H282" s="12">
        <f>IF(A282="","",IF(COUNTIF($A$2:$A$501,A282)&gt;1,"Duplicate client ID",IF(B282="","Add client name","OK")))</f>
        <v/>
      </c>
    </row>
    <row r="283" ht="23" customHeight="1">
      <c r="A283" s="14" t="n"/>
      <c r="B283" s="15" t="n"/>
      <c r="C283" s="15" t="n"/>
      <c r="D283" s="14" t="n"/>
      <c r="E283" s="15" t="n"/>
      <c r="F283" s="12">
        <f>IF(A283="","",COUNTIF(Sales!$D$2:$D$501,A283))</f>
        <v/>
      </c>
      <c r="G283" s="13">
        <f>IF(A283="","",SUMIF(Sales!$D$2:$D$501,A283,Sales!$G$2:$G$501))</f>
        <v/>
      </c>
      <c r="H283" s="12">
        <f>IF(A283="","",IF(COUNTIF($A$2:$A$501,A283)&gt;1,"Duplicate client ID",IF(B283="","Add client name","OK")))</f>
        <v/>
      </c>
    </row>
    <row r="284" ht="23" customHeight="1">
      <c r="A284" s="9" t="n"/>
      <c r="B284" s="10" t="n"/>
      <c r="C284" s="10" t="n"/>
      <c r="D284" s="9" t="n"/>
      <c r="E284" s="10" t="n"/>
      <c r="F284" s="12">
        <f>IF(A284="","",COUNTIF(Sales!$D$2:$D$501,A284))</f>
        <v/>
      </c>
      <c r="G284" s="13">
        <f>IF(A284="","",SUMIF(Sales!$D$2:$D$501,A284,Sales!$G$2:$G$501))</f>
        <v/>
      </c>
      <c r="H284" s="12">
        <f>IF(A284="","",IF(COUNTIF($A$2:$A$501,A284)&gt;1,"Duplicate client ID",IF(B284="","Add client name","OK")))</f>
        <v/>
      </c>
    </row>
    <row r="285" ht="23" customHeight="1">
      <c r="A285" s="14" t="n"/>
      <c r="B285" s="15" t="n"/>
      <c r="C285" s="15" t="n"/>
      <c r="D285" s="14" t="n"/>
      <c r="E285" s="15" t="n"/>
      <c r="F285" s="12">
        <f>IF(A285="","",COUNTIF(Sales!$D$2:$D$501,A285))</f>
        <v/>
      </c>
      <c r="G285" s="13">
        <f>IF(A285="","",SUMIF(Sales!$D$2:$D$501,A285,Sales!$G$2:$G$501))</f>
        <v/>
      </c>
      <c r="H285" s="12">
        <f>IF(A285="","",IF(COUNTIF($A$2:$A$501,A285)&gt;1,"Duplicate client ID",IF(B285="","Add client name","OK")))</f>
        <v/>
      </c>
    </row>
    <row r="286" ht="23" customHeight="1">
      <c r="A286" s="9" t="n"/>
      <c r="B286" s="10" t="n"/>
      <c r="C286" s="10" t="n"/>
      <c r="D286" s="9" t="n"/>
      <c r="E286" s="10" t="n"/>
      <c r="F286" s="12">
        <f>IF(A286="","",COUNTIF(Sales!$D$2:$D$501,A286))</f>
        <v/>
      </c>
      <c r="G286" s="13">
        <f>IF(A286="","",SUMIF(Sales!$D$2:$D$501,A286,Sales!$G$2:$G$501))</f>
        <v/>
      </c>
      <c r="H286" s="12">
        <f>IF(A286="","",IF(COUNTIF($A$2:$A$501,A286)&gt;1,"Duplicate client ID",IF(B286="","Add client name","OK")))</f>
        <v/>
      </c>
    </row>
    <row r="287" ht="23" customHeight="1">
      <c r="A287" s="14" t="n"/>
      <c r="B287" s="15" t="n"/>
      <c r="C287" s="15" t="n"/>
      <c r="D287" s="14" t="n"/>
      <c r="E287" s="15" t="n"/>
      <c r="F287" s="12">
        <f>IF(A287="","",COUNTIF(Sales!$D$2:$D$501,A287))</f>
        <v/>
      </c>
      <c r="G287" s="13">
        <f>IF(A287="","",SUMIF(Sales!$D$2:$D$501,A287,Sales!$G$2:$G$501))</f>
        <v/>
      </c>
      <c r="H287" s="12">
        <f>IF(A287="","",IF(COUNTIF($A$2:$A$501,A287)&gt;1,"Duplicate client ID",IF(B287="","Add client name","OK")))</f>
        <v/>
      </c>
    </row>
    <row r="288" ht="23" customHeight="1">
      <c r="A288" s="9" t="n"/>
      <c r="B288" s="10" t="n"/>
      <c r="C288" s="10" t="n"/>
      <c r="D288" s="9" t="n"/>
      <c r="E288" s="10" t="n"/>
      <c r="F288" s="12">
        <f>IF(A288="","",COUNTIF(Sales!$D$2:$D$501,A288))</f>
        <v/>
      </c>
      <c r="G288" s="13">
        <f>IF(A288="","",SUMIF(Sales!$D$2:$D$501,A288,Sales!$G$2:$G$501))</f>
        <v/>
      </c>
      <c r="H288" s="12">
        <f>IF(A288="","",IF(COUNTIF($A$2:$A$501,A288)&gt;1,"Duplicate client ID",IF(B288="","Add client name","OK")))</f>
        <v/>
      </c>
    </row>
    <row r="289" ht="23" customHeight="1">
      <c r="A289" s="14" t="n"/>
      <c r="B289" s="15" t="n"/>
      <c r="C289" s="15" t="n"/>
      <c r="D289" s="14" t="n"/>
      <c r="E289" s="15" t="n"/>
      <c r="F289" s="12">
        <f>IF(A289="","",COUNTIF(Sales!$D$2:$D$501,A289))</f>
        <v/>
      </c>
      <c r="G289" s="13">
        <f>IF(A289="","",SUMIF(Sales!$D$2:$D$501,A289,Sales!$G$2:$G$501))</f>
        <v/>
      </c>
      <c r="H289" s="12">
        <f>IF(A289="","",IF(COUNTIF($A$2:$A$501,A289)&gt;1,"Duplicate client ID",IF(B289="","Add client name","OK")))</f>
        <v/>
      </c>
    </row>
    <row r="290" ht="23" customHeight="1">
      <c r="A290" s="9" t="n"/>
      <c r="B290" s="10" t="n"/>
      <c r="C290" s="10" t="n"/>
      <c r="D290" s="9" t="n"/>
      <c r="E290" s="10" t="n"/>
      <c r="F290" s="12">
        <f>IF(A290="","",COUNTIF(Sales!$D$2:$D$501,A290))</f>
        <v/>
      </c>
      <c r="G290" s="13">
        <f>IF(A290="","",SUMIF(Sales!$D$2:$D$501,A290,Sales!$G$2:$G$501))</f>
        <v/>
      </c>
      <c r="H290" s="12">
        <f>IF(A290="","",IF(COUNTIF($A$2:$A$501,A290)&gt;1,"Duplicate client ID",IF(B290="","Add client name","OK")))</f>
        <v/>
      </c>
    </row>
    <row r="291" ht="23" customHeight="1">
      <c r="A291" s="14" t="n"/>
      <c r="B291" s="15" t="n"/>
      <c r="C291" s="15" t="n"/>
      <c r="D291" s="14" t="n"/>
      <c r="E291" s="15" t="n"/>
      <c r="F291" s="12">
        <f>IF(A291="","",COUNTIF(Sales!$D$2:$D$501,A291))</f>
        <v/>
      </c>
      <c r="G291" s="13">
        <f>IF(A291="","",SUMIF(Sales!$D$2:$D$501,A291,Sales!$G$2:$G$501))</f>
        <v/>
      </c>
      <c r="H291" s="12">
        <f>IF(A291="","",IF(COUNTIF($A$2:$A$501,A291)&gt;1,"Duplicate client ID",IF(B291="","Add client name","OK")))</f>
        <v/>
      </c>
    </row>
    <row r="292" ht="23" customHeight="1">
      <c r="A292" s="9" t="n"/>
      <c r="B292" s="10" t="n"/>
      <c r="C292" s="10" t="n"/>
      <c r="D292" s="9" t="n"/>
      <c r="E292" s="10" t="n"/>
      <c r="F292" s="12">
        <f>IF(A292="","",COUNTIF(Sales!$D$2:$D$501,A292))</f>
        <v/>
      </c>
      <c r="G292" s="13">
        <f>IF(A292="","",SUMIF(Sales!$D$2:$D$501,A292,Sales!$G$2:$G$501))</f>
        <v/>
      </c>
      <c r="H292" s="12">
        <f>IF(A292="","",IF(COUNTIF($A$2:$A$501,A292)&gt;1,"Duplicate client ID",IF(B292="","Add client name","OK")))</f>
        <v/>
      </c>
    </row>
    <row r="293" ht="23" customHeight="1">
      <c r="A293" s="14" t="n"/>
      <c r="B293" s="15" t="n"/>
      <c r="C293" s="15" t="n"/>
      <c r="D293" s="14" t="n"/>
      <c r="E293" s="15" t="n"/>
      <c r="F293" s="12">
        <f>IF(A293="","",COUNTIF(Sales!$D$2:$D$501,A293))</f>
        <v/>
      </c>
      <c r="G293" s="13">
        <f>IF(A293="","",SUMIF(Sales!$D$2:$D$501,A293,Sales!$G$2:$G$501))</f>
        <v/>
      </c>
      <c r="H293" s="12">
        <f>IF(A293="","",IF(COUNTIF($A$2:$A$501,A293)&gt;1,"Duplicate client ID",IF(B293="","Add client name","OK")))</f>
        <v/>
      </c>
    </row>
    <row r="294" ht="23" customHeight="1">
      <c r="A294" s="9" t="n"/>
      <c r="B294" s="10" t="n"/>
      <c r="C294" s="10" t="n"/>
      <c r="D294" s="9" t="n"/>
      <c r="E294" s="10" t="n"/>
      <c r="F294" s="12">
        <f>IF(A294="","",COUNTIF(Sales!$D$2:$D$501,A294))</f>
        <v/>
      </c>
      <c r="G294" s="13">
        <f>IF(A294="","",SUMIF(Sales!$D$2:$D$501,A294,Sales!$G$2:$G$501))</f>
        <v/>
      </c>
      <c r="H294" s="12">
        <f>IF(A294="","",IF(COUNTIF($A$2:$A$501,A294)&gt;1,"Duplicate client ID",IF(B294="","Add client name","OK")))</f>
        <v/>
      </c>
    </row>
    <row r="295" ht="23" customHeight="1">
      <c r="A295" s="14" t="n"/>
      <c r="B295" s="15" t="n"/>
      <c r="C295" s="15" t="n"/>
      <c r="D295" s="14" t="n"/>
      <c r="E295" s="15" t="n"/>
      <c r="F295" s="12">
        <f>IF(A295="","",COUNTIF(Sales!$D$2:$D$501,A295))</f>
        <v/>
      </c>
      <c r="G295" s="13">
        <f>IF(A295="","",SUMIF(Sales!$D$2:$D$501,A295,Sales!$G$2:$G$501))</f>
        <v/>
      </c>
      <c r="H295" s="12">
        <f>IF(A295="","",IF(COUNTIF($A$2:$A$501,A295)&gt;1,"Duplicate client ID",IF(B295="","Add client name","OK")))</f>
        <v/>
      </c>
    </row>
    <row r="296" ht="23" customHeight="1">
      <c r="A296" s="9" t="n"/>
      <c r="B296" s="10" t="n"/>
      <c r="C296" s="10" t="n"/>
      <c r="D296" s="9" t="n"/>
      <c r="E296" s="10" t="n"/>
      <c r="F296" s="12">
        <f>IF(A296="","",COUNTIF(Sales!$D$2:$D$501,A296))</f>
        <v/>
      </c>
      <c r="G296" s="13">
        <f>IF(A296="","",SUMIF(Sales!$D$2:$D$501,A296,Sales!$G$2:$G$501))</f>
        <v/>
      </c>
      <c r="H296" s="12">
        <f>IF(A296="","",IF(COUNTIF($A$2:$A$501,A296)&gt;1,"Duplicate client ID",IF(B296="","Add client name","OK")))</f>
        <v/>
      </c>
    </row>
    <row r="297" ht="23" customHeight="1">
      <c r="A297" s="14" t="n"/>
      <c r="B297" s="15" t="n"/>
      <c r="C297" s="15" t="n"/>
      <c r="D297" s="14" t="n"/>
      <c r="E297" s="15" t="n"/>
      <c r="F297" s="12">
        <f>IF(A297="","",COUNTIF(Sales!$D$2:$D$501,A297))</f>
        <v/>
      </c>
      <c r="G297" s="13">
        <f>IF(A297="","",SUMIF(Sales!$D$2:$D$501,A297,Sales!$G$2:$G$501))</f>
        <v/>
      </c>
      <c r="H297" s="12">
        <f>IF(A297="","",IF(COUNTIF($A$2:$A$501,A297)&gt;1,"Duplicate client ID",IF(B297="","Add client name","OK")))</f>
        <v/>
      </c>
    </row>
    <row r="298" ht="23" customHeight="1">
      <c r="A298" s="9" t="n"/>
      <c r="B298" s="10" t="n"/>
      <c r="C298" s="10" t="n"/>
      <c r="D298" s="9" t="n"/>
      <c r="E298" s="10" t="n"/>
      <c r="F298" s="12">
        <f>IF(A298="","",COUNTIF(Sales!$D$2:$D$501,A298))</f>
        <v/>
      </c>
      <c r="G298" s="13">
        <f>IF(A298="","",SUMIF(Sales!$D$2:$D$501,A298,Sales!$G$2:$G$501))</f>
        <v/>
      </c>
      <c r="H298" s="12">
        <f>IF(A298="","",IF(COUNTIF($A$2:$A$501,A298)&gt;1,"Duplicate client ID",IF(B298="","Add client name","OK")))</f>
        <v/>
      </c>
    </row>
    <row r="299" ht="23" customHeight="1">
      <c r="A299" s="14" t="n"/>
      <c r="B299" s="15" t="n"/>
      <c r="C299" s="15" t="n"/>
      <c r="D299" s="14" t="n"/>
      <c r="E299" s="15" t="n"/>
      <c r="F299" s="12">
        <f>IF(A299="","",COUNTIF(Sales!$D$2:$D$501,A299))</f>
        <v/>
      </c>
      <c r="G299" s="13">
        <f>IF(A299="","",SUMIF(Sales!$D$2:$D$501,A299,Sales!$G$2:$G$501))</f>
        <v/>
      </c>
      <c r="H299" s="12">
        <f>IF(A299="","",IF(COUNTIF($A$2:$A$501,A299)&gt;1,"Duplicate client ID",IF(B299="","Add client name","OK")))</f>
        <v/>
      </c>
    </row>
    <row r="300" ht="23" customHeight="1">
      <c r="A300" s="9" t="n"/>
      <c r="B300" s="10" t="n"/>
      <c r="C300" s="10" t="n"/>
      <c r="D300" s="9" t="n"/>
      <c r="E300" s="10" t="n"/>
      <c r="F300" s="12">
        <f>IF(A300="","",COUNTIF(Sales!$D$2:$D$501,A300))</f>
        <v/>
      </c>
      <c r="G300" s="13">
        <f>IF(A300="","",SUMIF(Sales!$D$2:$D$501,A300,Sales!$G$2:$G$501))</f>
        <v/>
      </c>
      <c r="H300" s="12">
        <f>IF(A300="","",IF(COUNTIF($A$2:$A$501,A300)&gt;1,"Duplicate client ID",IF(B300="","Add client name","OK")))</f>
        <v/>
      </c>
    </row>
    <row r="301" ht="23" customHeight="1">
      <c r="A301" s="14" t="n"/>
      <c r="B301" s="15" t="n"/>
      <c r="C301" s="15" t="n"/>
      <c r="D301" s="14" t="n"/>
      <c r="E301" s="15" t="n"/>
      <c r="F301" s="12">
        <f>IF(A301="","",COUNTIF(Sales!$D$2:$D$501,A301))</f>
        <v/>
      </c>
      <c r="G301" s="13">
        <f>IF(A301="","",SUMIF(Sales!$D$2:$D$501,A301,Sales!$G$2:$G$501))</f>
        <v/>
      </c>
      <c r="H301" s="12">
        <f>IF(A301="","",IF(COUNTIF($A$2:$A$501,A301)&gt;1,"Duplicate client ID",IF(B301="","Add client name","OK")))</f>
        <v/>
      </c>
    </row>
    <row r="302" ht="23" customHeight="1">
      <c r="A302" s="9" t="n"/>
      <c r="B302" s="10" t="n"/>
      <c r="C302" s="10" t="n"/>
      <c r="D302" s="9" t="n"/>
      <c r="E302" s="10" t="n"/>
      <c r="F302" s="12">
        <f>IF(A302="","",COUNTIF(Sales!$D$2:$D$501,A302))</f>
        <v/>
      </c>
      <c r="G302" s="13">
        <f>IF(A302="","",SUMIF(Sales!$D$2:$D$501,A302,Sales!$G$2:$G$501))</f>
        <v/>
      </c>
      <c r="H302" s="12">
        <f>IF(A302="","",IF(COUNTIF($A$2:$A$501,A302)&gt;1,"Duplicate client ID",IF(B302="","Add client name","OK")))</f>
        <v/>
      </c>
    </row>
    <row r="303" ht="23" customHeight="1">
      <c r="A303" s="14" t="n"/>
      <c r="B303" s="15" t="n"/>
      <c r="C303" s="15" t="n"/>
      <c r="D303" s="14" t="n"/>
      <c r="E303" s="15" t="n"/>
      <c r="F303" s="12">
        <f>IF(A303="","",COUNTIF(Sales!$D$2:$D$501,A303))</f>
        <v/>
      </c>
      <c r="G303" s="13">
        <f>IF(A303="","",SUMIF(Sales!$D$2:$D$501,A303,Sales!$G$2:$G$501))</f>
        <v/>
      </c>
      <c r="H303" s="12">
        <f>IF(A303="","",IF(COUNTIF($A$2:$A$501,A303)&gt;1,"Duplicate client ID",IF(B303="","Add client name","OK")))</f>
        <v/>
      </c>
    </row>
    <row r="304" ht="23" customHeight="1">
      <c r="A304" s="9" t="n"/>
      <c r="B304" s="10" t="n"/>
      <c r="C304" s="10" t="n"/>
      <c r="D304" s="9" t="n"/>
      <c r="E304" s="10" t="n"/>
      <c r="F304" s="12">
        <f>IF(A304="","",COUNTIF(Sales!$D$2:$D$501,A304))</f>
        <v/>
      </c>
      <c r="G304" s="13">
        <f>IF(A304="","",SUMIF(Sales!$D$2:$D$501,A304,Sales!$G$2:$G$501))</f>
        <v/>
      </c>
      <c r="H304" s="12">
        <f>IF(A304="","",IF(COUNTIF($A$2:$A$501,A304)&gt;1,"Duplicate client ID",IF(B304="","Add client name","OK")))</f>
        <v/>
      </c>
    </row>
    <row r="305" ht="23" customHeight="1">
      <c r="A305" s="14" t="n"/>
      <c r="B305" s="15" t="n"/>
      <c r="C305" s="15" t="n"/>
      <c r="D305" s="14" t="n"/>
      <c r="E305" s="15" t="n"/>
      <c r="F305" s="12">
        <f>IF(A305="","",COUNTIF(Sales!$D$2:$D$501,A305))</f>
        <v/>
      </c>
      <c r="G305" s="13">
        <f>IF(A305="","",SUMIF(Sales!$D$2:$D$501,A305,Sales!$G$2:$G$501))</f>
        <v/>
      </c>
      <c r="H305" s="12">
        <f>IF(A305="","",IF(COUNTIF($A$2:$A$501,A305)&gt;1,"Duplicate client ID",IF(B305="","Add client name","OK")))</f>
        <v/>
      </c>
    </row>
    <row r="306" ht="23" customHeight="1">
      <c r="A306" s="9" t="n"/>
      <c r="B306" s="10" t="n"/>
      <c r="C306" s="10" t="n"/>
      <c r="D306" s="9" t="n"/>
      <c r="E306" s="10" t="n"/>
      <c r="F306" s="12">
        <f>IF(A306="","",COUNTIF(Sales!$D$2:$D$501,A306))</f>
        <v/>
      </c>
      <c r="G306" s="13">
        <f>IF(A306="","",SUMIF(Sales!$D$2:$D$501,A306,Sales!$G$2:$G$501))</f>
        <v/>
      </c>
      <c r="H306" s="12">
        <f>IF(A306="","",IF(COUNTIF($A$2:$A$501,A306)&gt;1,"Duplicate client ID",IF(B306="","Add client name","OK")))</f>
        <v/>
      </c>
    </row>
    <row r="307" ht="23" customHeight="1">
      <c r="A307" s="14" t="n"/>
      <c r="B307" s="15" t="n"/>
      <c r="C307" s="15" t="n"/>
      <c r="D307" s="14" t="n"/>
      <c r="E307" s="15" t="n"/>
      <c r="F307" s="12">
        <f>IF(A307="","",COUNTIF(Sales!$D$2:$D$501,A307))</f>
        <v/>
      </c>
      <c r="G307" s="13">
        <f>IF(A307="","",SUMIF(Sales!$D$2:$D$501,A307,Sales!$G$2:$G$501))</f>
        <v/>
      </c>
      <c r="H307" s="12">
        <f>IF(A307="","",IF(COUNTIF($A$2:$A$501,A307)&gt;1,"Duplicate client ID",IF(B307="","Add client name","OK")))</f>
        <v/>
      </c>
    </row>
    <row r="308" ht="23" customHeight="1">
      <c r="A308" s="9" t="n"/>
      <c r="B308" s="10" t="n"/>
      <c r="C308" s="10" t="n"/>
      <c r="D308" s="9" t="n"/>
      <c r="E308" s="10" t="n"/>
      <c r="F308" s="12">
        <f>IF(A308="","",COUNTIF(Sales!$D$2:$D$501,A308))</f>
        <v/>
      </c>
      <c r="G308" s="13">
        <f>IF(A308="","",SUMIF(Sales!$D$2:$D$501,A308,Sales!$G$2:$G$501))</f>
        <v/>
      </c>
      <c r="H308" s="12">
        <f>IF(A308="","",IF(COUNTIF($A$2:$A$501,A308)&gt;1,"Duplicate client ID",IF(B308="","Add client name","OK")))</f>
        <v/>
      </c>
    </row>
    <row r="309" ht="23" customHeight="1">
      <c r="A309" s="14" t="n"/>
      <c r="B309" s="15" t="n"/>
      <c r="C309" s="15" t="n"/>
      <c r="D309" s="14" t="n"/>
      <c r="E309" s="15" t="n"/>
      <c r="F309" s="12">
        <f>IF(A309="","",COUNTIF(Sales!$D$2:$D$501,A309))</f>
        <v/>
      </c>
      <c r="G309" s="13">
        <f>IF(A309="","",SUMIF(Sales!$D$2:$D$501,A309,Sales!$G$2:$G$501))</f>
        <v/>
      </c>
      <c r="H309" s="12">
        <f>IF(A309="","",IF(COUNTIF($A$2:$A$501,A309)&gt;1,"Duplicate client ID",IF(B309="","Add client name","OK")))</f>
        <v/>
      </c>
    </row>
    <row r="310" ht="23" customHeight="1">
      <c r="A310" s="9" t="n"/>
      <c r="B310" s="10" t="n"/>
      <c r="C310" s="10" t="n"/>
      <c r="D310" s="9" t="n"/>
      <c r="E310" s="10" t="n"/>
      <c r="F310" s="12">
        <f>IF(A310="","",COUNTIF(Sales!$D$2:$D$501,A310))</f>
        <v/>
      </c>
      <c r="G310" s="13">
        <f>IF(A310="","",SUMIF(Sales!$D$2:$D$501,A310,Sales!$G$2:$G$501))</f>
        <v/>
      </c>
      <c r="H310" s="12">
        <f>IF(A310="","",IF(COUNTIF($A$2:$A$501,A310)&gt;1,"Duplicate client ID",IF(B310="","Add client name","OK")))</f>
        <v/>
      </c>
    </row>
    <row r="311" ht="23" customHeight="1">
      <c r="A311" s="14" t="n"/>
      <c r="B311" s="15" t="n"/>
      <c r="C311" s="15" t="n"/>
      <c r="D311" s="14" t="n"/>
      <c r="E311" s="15" t="n"/>
      <c r="F311" s="12">
        <f>IF(A311="","",COUNTIF(Sales!$D$2:$D$501,A311))</f>
        <v/>
      </c>
      <c r="G311" s="13">
        <f>IF(A311="","",SUMIF(Sales!$D$2:$D$501,A311,Sales!$G$2:$G$501))</f>
        <v/>
      </c>
      <c r="H311" s="12">
        <f>IF(A311="","",IF(COUNTIF($A$2:$A$501,A311)&gt;1,"Duplicate client ID",IF(B311="","Add client name","OK")))</f>
        <v/>
      </c>
    </row>
    <row r="312" ht="23" customHeight="1">
      <c r="A312" s="9" t="n"/>
      <c r="B312" s="10" t="n"/>
      <c r="C312" s="10" t="n"/>
      <c r="D312" s="9" t="n"/>
      <c r="E312" s="10" t="n"/>
      <c r="F312" s="12">
        <f>IF(A312="","",COUNTIF(Sales!$D$2:$D$501,A312))</f>
        <v/>
      </c>
      <c r="G312" s="13">
        <f>IF(A312="","",SUMIF(Sales!$D$2:$D$501,A312,Sales!$G$2:$G$501))</f>
        <v/>
      </c>
      <c r="H312" s="12">
        <f>IF(A312="","",IF(COUNTIF($A$2:$A$501,A312)&gt;1,"Duplicate client ID",IF(B312="","Add client name","OK")))</f>
        <v/>
      </c>
    </row>
    <row r="313" ht="23" customHeight="1">
      <c r="A313" s="14" t="n"/>
      <c r="B313" s="15" t="n"/>
      <c r="C313" s="15" t="n"/>
      <c r="D313" s="14" t="n"/>
      <c r="E313" s="15" t="n"/>
      <c r="F313" s="12">
        <f>IF(A313="","",COUNTIF(Sales!$D$2:$D$501,A313))</f>
        <v/>
      </c>
      <c r="G313" s="13">
        <f>IF(A313="","",SUMIF(Sales!$D$2:$D$501,A313,Sales!$G$2:$G$501))</f>
        <v/>
      </c>
      <c r="H313" s="12">
        <f>IF(A313="","",IF(COUNTIF($A$2:$A$501,A313)&gt;1,"Duplicate client ID",IF(B313="","Add client name","OK")))</f>
        <v/>
      </c>
    </row>
    <row r="314" ht="23" customHeight="1">
      <c r="A314" s="9" t="n"/>
      <c r="B314" s="10" t="n"/>
      <c r="C314" s="10" t="n"/>
      <c r="D314" s="9" t="n"/>
      <c r="E314" s="10" t="n"/>
      <c r="F314" s="12">
        <f>IF(A314="","",COUNTIF(Sales!$D$2:$D$501,A314))</f>
        <v/>
      </c>
      <c r="G314" s="13">
        <f>IF(A314="","",SUMIF(Sales!$D$2:$D$501,A314,Sales!$G$2:$G$501))</f>
        <v/>
      </c>
      <c r="H314" s="12">
        <f>IF(A314="","",IF(COUNTIF($A$2:$A$501,A314)&gt;1,"Duplicate client ID",IF(B314="","Add client name","OK")))</f>
        <v/>
      </c>
    </row>
    <row r="315" ht="23" customHeight="1">
      <c r="A315" s="14" t="n"/>
      <c r="B315" s="15" t="n"/>
      <c r="C315" s="15" t="n"/>
      <c r="D315" s="14" t="n"/>
      <c r="E315" s="15" t="n"/>
      <c r="F315" s="12">
        <f>IF(A315="","",COUNTIF(Sales!$D$2:$D$501,A315))</f>
        <v/>
      </c>
      <c r="G315" s="13">
        <f>IF(A315="","",SUMIF(Sales!$D$2:$D$501,A315,Sales!$G$2:$G$501))</f>
        <v/>
      </c>
      <c r="H315" s="12">
        <f>IF(A315="","",IF(COUNTIF($A$2:$A$501,A315)&gt;1,"Duplicate client ID",IF(B315="","Add client name","OK")))</f>
        <v/>
      </c>
    </row>
    <row r="316" ht="23" customHeight="1">
      <c r="A316" s="9" t="n"/>
      <c r="B316" s="10" t="n"/>
      <c r="C316" s="10" t="n"/>
      <c r="D316" s="9" t="n"/>
      <c r="E316" s="10" t="n"/>
      <c r="F316" s="12">
        <f>IF(A316="","",COUNTIF(Sales!$D$2:$D$501,A316))</f>
        <v/>
      </c>
      <c r="G316" s="13">
        <f>IF(A316="","",SUMIF(Sales!$D$2:$D$501,A316,Sales!$G$2:$G$501))</f>
        <v/>
      </c>
      <c r="H316" s="12">
        <f>IF(A316="","",IF(COUNTIF($A$2:$A$501,A316)&gt;1,"Duplicate client ID",IF(B316="","Add client name","OK")))</f>
        <v/>
      </c>
    </row>
    <row r="317" ht="23" customHeight="1">
      <c r="A317" s="14" t="n"/>
      <c r="B317" s="15" t="n"/>
      <c r="C317" s="15" t="n"/>
      <c r="D317" s="14" t="n"/>
      <c r="E317" s="15" t="n"/>
      <c r="F317" s="12">
        <f>IF(A317="","",COUNTIF(Sales!$D$2:$D$501,A317))</f>
        <v/>
      </c>
      <c r="G317" s="13">
        <f>IF(A317="","",SUMIF(Sales!$D$2:$D$501,A317,Sales!$G$2:$G$501))</f>
        <v/>
      </c>
      <c r="H317" s="12">
        <f>IF(A317="","",IF(COUNTIF($A$2:$A$501,A317)&gt;1,"Duplicate client ID",IF(B317="","Add client name","OK")))</f>
        <v/>
      </c>
    </row>
    <row r="318" ht="23" customHeight="1">
      <c r="A318" s="9" t="n"/>
      <c r="B318" s="10" t="n"/>
      <c r="C318" s="10" t="n"/>
      <c r="D318" s="9" t="n"/>
      <c r="E318" s="10" t="n"/>
      <c r="F318" s="12">
        <f>IF(A318="","",COUNTIF(Sales!$D$2:$D$501,A318))</f>
        <v/>
      </c>
      <c r="G318" s="13">
        <f>IF(A318="","",SUMIF(Sales!$D$2:$D$501,A318,Sales!$G$2:$G$501))</f>
        <v/>
      </c>
      <c r="H318" s="12">
        <f>IF(A318="","",IF(COUNTIF($A$2:$A$501,A318)&gt;1,"Duplicate client ID",IF(B318="","Add client name","OK")))</f>
        <v/>
      </c>
    </row>
    <row r="319" ht="23" customHeight="1">
      <c r="A319" s="14" t="n"/>
      <c r="B319" s="15" t="n"/>
      <c r="C319" s="15" t="n"/>
      <c r="D319" s="14" t="n"/>
      <c r="E319" s="15" t="n"/>
      <c r="F319" s="12">
        <f>IF(A319="","",COUNTIF(Sales!$D$2:$D$501,A319))</f>
        <v/>
      </c>
      <c r="G319" s="13">
        <f>IF(A319="","",SUMIF(Sales!$D$2:$D$501,A319,Sales!$G$2:$G$501))</f>
        <v/>
      </c>
      <c r="H319" s="12">
        <f>IF(A319="","",IF(COUNTIF($A$2:$A$501,A319)&gt;1,"Duplicate client ID",IF(B319="","Add client name","OK")))</f>
        <v/>
      </c>
    </row>
    <row r="320" ht="23" customHeight="1">
      <c r="A320" s="9" t="n"/>
      <c r="B320" s="10" t="n"/>
      <c r="C320" s="10" t="n"/>
      <c r="D320" s="9" t="n"/>
      <c r="E320" s="10" t="n"/>
      <c r="F320" s="12">
        <f>IF(A320="","",COUNTIF(Sales!$D$2:$D$501,A320))</f>
        <v/>
      </c>
      <c r="G320" s="13">
        <f>IF(A320="","",SUMIF(Sales!$D$2:$D$501,A320,Sales!$G$2:$G$501))</f>
        <v/>
      </c>
      <c r="H320" s="12">
        <f>IF(A320="","",IF(COUNTIF($A$2:$A$501,A320)&gt;1,"Duplicate client ID",IF(B320="","Add client name","OK")))</f>
        <v/>
      </c>
    </row>
    <row r="321" ht="23" customHeight="1">
      <c r="A321" s="14" t="n"/>
      <c r="B321" s="15" t="n"/>
      <c r="C321" s="15" t="n"/>
      <c r="D321" s="14" t="n"/>
      <c r="E321" s="15" t="n"/>
      <c r="F321" s="12">
        <f>IF(A321="","",COUNTIF(Sales!$D$2:$D$501,A321))</f>
        <v/>
      </c>
      <c r="G321" s="13">
        <f>IF(A321="","",SUMIF(Sales!$D$2:$D$501,A321,Sales!$G$2:$G$501))</f>
        <v/>
      </c>
      <c r="H321" s="12">
        <f>IF(A321="","",IF(COUNTIF($A$2:$A$501,A321)&gt;1,"Duplicate client ID",IF(B321="","Add client name","OK")))</f>
        <v/>
      </c>
    </row>
    <row r="322" ht="23" customHeight="1">
      <c r="A322" s="9" t="n"/>
      <c r="B322" s="10" t="n"/>
      <c r="C322" s="10" t="n"/>
      <c r="D322" s="9" t="n"/>
      <c r="E322" s="10" t="n"/>
      <c r="F322" s="12">
        <f>IF(A322="","",COUNTIF(Sales!$D$2:$D$501,A322))</f>
        <v/>
      </c>
      <c r="G322" s="13">
        <f>IF(A322="","",SUMIF(Sales!$D$2:$D$501,A322,Sales!$G$2:$G$501))</f>
        <v/>
      </c>
      <c r="H322" s="12">
        <f>IF(A322="","",IF(COUNTIF($A$2:$A$501,A322)&gt;1,"Duplicate client ID",IF(B322="","Add client name","OK")))</f>
        <v/>
      </c>
    </row>
    <row r="323" ht="23" customHeight="1">
      <c r="A323" s="14" t="n"/>
      <c r="B323" s="15" t="n"/>
      <c r="C323" s="15" t="n"/>
      <c r="D323" s="14" t="n"/>
      <c r="E323" s="15" t="n"/>
      <c r="F323" s="12">
        <f>IF(A323="","",COUNTIF(Sales!$D$2:$D$501,A323))</f>
        <v/>
      </c>
      <c r="G323" s="13">
        <f>IF(A323="","",SUMIF(Sales!$D$2:$D$501,A323,Sales!$G$2:$G$501))</f>
        <v/>
      </c>
      <c r="H323" s="12">
        <f>IF(A323="","",IF(COUNTIF($A$2:$A$501,A323)&gt;1,"Duplicate client ID",IF(B323="","Add client name","OK")))</f>
        <v/>
      </c>
    </row>
    <row r="324" ht="23" customHeight="1">
      <c r="A324" s="9" t="n"/>
      <c r="B324" s="10" t="n"/>
      <c r="C324" s="10" t="n"/>
      <c r="D324" s="9" t="n"/>
      <c r="E324" s="10" t="n"/>
      <c r="F324" s="12">
        <f>IF(A324="","",COUNTIF(Sales!$D$2:$D$501,A324))</f>
        <v/>
      </c>
      <c r="G324" s="13">
        <f>IF(A324="","",SUMIF(Sales!$D$2:$D$501,A324,Sales!$G$2:$G$501))</f>
        <v/>
      </c>
      <c r="H324" s="12">
        <f>IF(A324="","",IF(COUNTIF($A$2:$A$501,A324)&gt;1,"Duplicate client ID",IF(B324="","Add client name","OK")))</f>
        <v/>
      </c>
    </row>
    <row r="325" ht="23" customHeight="1">
      <c r="A325" s="14" t="n"/>
      <c r="B325" s="15" t="n"/>
      <c r="C325" s="15" t="n"/>
      <c r="D325" s="14" t="n"/>
      <c r="E325" s="15" t="n"/>
      <c r="F325" s="12">
        <f>IF(A325="","",COUNTIF(Sales!$D$2:$D$501,A325))</f>
        <v/>
      </c>
      <c r="G325" s="13">
        <f>IF(A325="","",SUMIF(Sales!$D$2:$D$501,A325,Sales!$G$2:$G$501))</f>
        <v/>
      </c>
      <c r="H325" s="12">
        <f>IF(A325="","",IF(COUNTIF($A$2:$A$501,A325)&gt;1,"Duplicate client ID",IF(B325="","Add client name","OK")))</f>
        <v/>
      </c>
    </row>
    <row r="326" ht="23" customHeight="1">
      <c r="A326" s="9" t="n"/>
      <c r="B326" s="10" t="n"/>
      <c r="C326" s="10" t="n"/>
      <c r="D326" s="9" t="n"/>
      <c r="E326" s="10" t="n"/>
      <c r="F326" s="12">
        <f>IF(A326="","",COUNTIF(Sales!$D$2:$D$501,A326))</f>
        <v/>
      </c>
      <c r="G326" s="13">
        <f>IF(A326="","",SUMIF(Sales!$D$2:$D$501,A326,Sales!$G$2:$G$501))</f>
        <v/>
      </c>
      <c r="H326" s="12">
        <f>IF(A326="","",IF(COUNTIF($A$2:$A$501,A326)&gt;1,"Duplicate client ID",IF(B326="","Add client name","OK")))</f>
        <v/>
      </c>
    </row>
    <row r="327" ht="23" customHeight="1">
      <c r="A327" s="14" t="n"/>
      <c r="B327" s="15" t="n"/>
      <c r="C327" s="15" t="n"/>
      <c r="D327" s="14" t="n"/>
      <c r="E327" s="15" t="n"/>
      <c r="F327" s="12">
        <f>IF(A327="","",COUNTIF(Sales!$D$2:$D$501,A327))</f>
        <v/>
      </c>
      <c r="G327" s="13">
        <f>IF(A327="","",SUMIF(Sales!$D$2:$D$501,A327,Sales!$G$2:$G$501))</f>
        <v/>
      </c>
      <c r="H327" s="12">
        <f>IF(A327="","",IF(COUNTIF($A$2:$A$501,A327)&gt;1,"Duplicate client ID",IF(B327="","Add client name","OK")))</f>
        <v/>
      </c>
    </row>
    <row r="328" ht="23" customHeight="1">
      <c r="A328" s="9" t="n"/>
      <c r="B328" s="10" t="n"/>
      <c r="C328" s="10" t="n"/>
      <c r="D328" s="9" t="n"/>
      <c r="E328" s="10" t="n"/>
      <c r="F328" s="12">
        <f>IF(A328="","",COUNTIF(Sales!$D$2:$D$501,A328))</f>
        <v/>
      </c>
      <c r="G328" s="13">
        <f>IF(A328="","",SUMIF(Sales!$D$2:$D$501,A328,Sales!$G$2:$G$501))</f>
        <v/>
      </c>
      <c r="H328" s="12">
        <f>IF(A328="","",IF(COUNTIF($A$2:$A$501,A328)&gt;1,"Duplicate client ID",IF(B328="","Add client name","OK")))</f>
        <v/>
      </c>
    </row>
    <row r="329" ht="23" customHeight="1">
      <c r="A329" s="14" t="n"/>
      <c r="B329" s="15" t="n"/>
      <c r="C329" s="15" t="n"/>
      <c r="D329" s="14" t="n"/>
      <c r="E329" s="15" t="n"/>
      <c r="F329" s="12">
        <f>IF(A329="","",COUNTIF(Sales!$D$2:$D$501,A329))</f>
        <v/>
      </c>
      <c r="G329" s="13">
        <f>IF(A329="","",SUMIF(Sales!$D$2:$D$501,A329,Sales!$G$2:$G$501))</f>
        <v/>
      </c>
      <c r="H329" s="12">
        <f>IF(A329="","",IF(COUNTIF($A$2:$A$501,A329)&gt;1,"Duplicate client ID",IF(B329="","Add client name","OK")))</f>
        <v/>
      </c>
    </row>
    <row r="330" ht="23" customHeight="1">
      <c r="A330" s="9" t="n"/>
      <c r="B330" s="10" t="n"/>
      <c r="C330" s="10" t="n"/>
      <c r="D330" s="9" t="n"/>
      <c r="E330" s="10" t="n"/>
      <c r="F330" s="12">
        <f>IF(A330="","",COUNTIF(Sales!$D$2:$D$501,A330))</f>
        <v/>
      </c>
      <c r="G330" s="13">
        <f>IF(A330="","",SUMIF(Sales!$D$2:$D$501,A330,Sales!$G$2:$G$501))</f>
        <v/>
      </c>
      <c r="H330" s="12">
        <f>IF(A330="","",IF(COUNTIF($A$2:$A$501,A330)&gt;1,"Duplicate client ID",IF(B330="","Add client name","OK")))</f>
        <v/>
      </c>
    </row>
    <row r="331" ht="23" customHeight="1">
      <c r="A331" s="14" t="n"/>
      <c r="B331" s="15" t="n"/>
      <c r="C331" s="15" t="n"/>
      <c r="D331" s="14" t="n"/>
      <c r="E331" s="15" t="n"/>
      <c r="F331" s="12">
        <f>IF(A331="","",COUNTIF(Sales!$D$2:$D$501,A331))</f>
        <v/>
      </c>
      <c r="G331" s="13">
        <f>IF(A331="","",SUMIF(Sales!$D$2:$D$501,A331,Sales!$G$2:$G$501))</f>
        <v/>
      </c>
      <c r="H331" s="12">
        <f>IF(A331="","",IF(COUNTIF($A$2:$A$501,A331)&gt;1,"Duplicate client ID",IF(B331="","Add client name","OK")))</f>
        <v/>
      </c>
    </row>
    <row r="332" ht="23" customHeight="1">
      <c r="A332" s="9" t="n"/>
      <c r="B332" s="10" t="n"/>
      <c r="C332" s="10" t="n"/>
      <c r="D332" s="9" t="n"/>
      <c r="E332" s="10" t="n"/>
      <c r="F332" s="12">
        <f>IF(A332="","",COUNTIF(Sales!$D$2:$D$501,A332))</f>
        <v/>
      </c>
      <c r="G332" s="13">
        <f>IF(A332="","",SUMIF(Sales!$D$2:$D$501,A332,Sales!$G$2:$G$501))</f>
        <v/>
      </c>
      <c r="H332" s="12">
        <f>IF(A332="","",IF(COUNTIF($A$2:$A$501,A332)&gt;1,"Duplicate client ID",IF(B332="","Add client name","OK")))</f>
        <v/>
      </c>
    </row>
    <row r="333" ht="23" customHeight="1">
      <c r="A333" s="14" t="n"/>
      <c r="B333" s="15" t="n"/>
      <c r="C333" s="15" t="n"/>
      <c r="D333" s="14" t="n"/>
      <c r="E333" s="15" t="n"/>
      <c r="F333" s="12">
        <f>IF(A333="","",COUNTIF(Sales!$D$2:$D$501,A333))</f>
        <v/>
      </c>
      <c r="G333" s="13">
        <f>IF(A333="","",SUMIF(Sales!$D$2:$D$501,A333,Sales!$G$2:$G$501))</f>
        <v/>
      </c>
      <c r="H333" s="12">
        <f>IF(A333="","",IF(COUNTIF($A$2:$A$501,A333)&gt;1,"Duplicate client ID",IF(B333="","Add client name","OK")))</f>
        <v/>
      </c>
    </row>
    <row r="334" ht="23" customHeight="1">
      <c r="A334" s="9" t="n"/>
      <c r="B334" s="10" t="n"/>
      <c r="C334" s="10" t="n"/>
      <c r="D334" s="9" t="n"/>
      <c r="E334" s="10" t="n"/>
      <c r="F334" s="12">
        <f>IF(A334="","",COUNTIF(Sales!$D$2:$D$501,A334))</f>
        <v/>
      </c>
      <c r="G334" s="13">
        <f>IF(A334="","",SUMIF(Sales!$D$2:$D$501,A334,Sales!$G$2:$G$501))</f>
        <v/>
      </c>
      <c r="H334" s="12">
        <f>IF(A334="","",IF(COUNTIF($A$2:$A$501,A334)&gt;1,"Duplicate client ID",IF(B334="","Add client name","OK")))</f>
        <v/>
      </c>
    </row>
    <row r="335" ht="23" customHeight="1">
      <c r="A335" s="14" t="n"/>
      <c r="B335" s="15" t="n"/>
      <c r="C335" s="15" t="n"/>
      <c r="D335" s="14" t="n"/>
      <c r="E335" s="15" t="n"/>
      <c r="F335" s="12">
        <f>IF(A335="","",COUNTIF(Sales!$D$2:$D$501,A335))</f>
        <v/>
      </c>
      <c r="G335" s="13">
        <f>IF(A335="","",SUMIF(Sales!$D$2:$D$501,A335,Sales!$G$2:$G$501))</f>
        <v/>
      </c>
      <c r="H335" s="12">
        <f>IF(A335="","",IF(COUNTIF($A$2:$A$501,A335)&gt;1,"Duplicate client ID",IF(B335="","Add client name","OK")))</f>
        <v/>
      </c>
    </row>
    <row r="336" ht="23" customHeight="1">
      <c r="A336" s="9" t="n"/>
      <c r="B336" s="10" t="n"/>
      <c r="C336" s="10" t="n"/>
      <c r="D336" s="9" t="n"/>
      <c r="E336" s="10" t="n"/>
      <c r="F336" s="12">
        <f>IF(A336="","",COUNTIF(Sales!$D$2:$D$501,A336))</f>
        <v/>
      </c>
      <c r="G336" s="13">
        <f>IF(A336="","",SUMIF(Sales!$D$2:$D$501,A336,Sales!$G$2:$G$501))</f>
        <v/>
      </c>
      <c r="H336" s="12">
        <f>IF(A336="","",IF(COUNTIF($A$2:$A$501,A336)&gt;1,"Duplicate client ID",IF(B336="","Add client name","OK")))</f>
        <v/>
      </c>
    </row>
    <row r="337" ht="23" customHeight="1">
      <c r="A337" s="14" t="n"/>
      <c r="B337" s="15" t="n"/>
      <c r="C337" s="15" t="n"/>
      <c r="D337" s="14" t="n"/>
      <c r="E337" s="15" t="n"/>
      <c r="F337" s="12">
        <f>IF(A337="","",COUNTIF(Sales!$D$2:$D$501,A337))</f>
        <v/>
      </c>
      <c r="G337" s="13">
        <f>IF(A337="","",SUMIF(Sales!$D$2:$D$501,A337,Sales!$G$2:$G$501))</f>
        <v/>
      </c>
      <c r="H337" s="12">
        <f>IF(A337="","",IF(COUNTIF($A$2:$A$501,A337)&gt;1,"Duplicate client ID",IF(B337="","Add client name","OK")))</f>
        <v/>
      </c>
    </row>
    <row r="338" ht="23" customHeight="1">
      <c r="A338" s="9" t="n"/>
      <c r="B338" s="10" t="n"/>
      <c r="C338" s="10" t="n"/>
      <c r="D338" s="9" t="n"/>
      <c r="E338" s="10" t="n"/>
      <c r="F338" s="12">
        <f>IF(A338="","",COUNTIF(Sales!$D$2:$D$501,A338))</f>
        <v/>
      </c>
      <c r="G338" s="13">
        <f>IF(A338="","",SUMIF(Sales!$D$2:$D$501,A338,Sales!$G$2:$G$501))</f>
        <v/>
      </c>
      <c r="H338" s="12">
        <f>IF(A338="","",IF(COUNTIF($A$2:$A$501,A338)&gt;1,"Duplicate client ID",IF(B338="","Add client name","OK")))</f>
        <v/>
      </c>
    </row>
    <row r="339" ht="23" customHeight="1">
      <c r="A339" s="14" t="n"/>
      <c r="B339" s="15" t="n"/>
      <c r="C339" s="15" t="n"/>
      <c r="D339" s="14" t="n"/>
      <c r="E339" s="15" t="n"/>
      <c r="F339" s="12">
        <f>IF(A339="","",COUNTIF(Sales!$D$2:$D$501,A339))</f>
        <v/>
      </c>
      <c r="G339" s="13">
        <f>IF(A339="","",SUMIF(Sales!$D$2:$D$501,A339,Sales!$G$2:$G$501))</f>
        <v/>
      </c>
      <c r="H339" s="12">
        <f>IF(A339="","",IF(COUNTIF($A$2:$A$501,A339)&gt;1,"Duplicate client ID",IF(B339="","Add client name","OK")))</f>
        <v/>
      </c>
    </row>
    <row r="340" ht="23" customHeight="1">
      <c r="A340" s="9" t="n"/>
      <c r="B340" s="10" t="n"/>
      <c r="C340" s="10" t="n"/>
      <c r="D340" s="9" t="n"/>
      <c r="E340" s="10" t="n"/>
      <c r="F340" s="12">
        <f>IF(A340="","",COUNTIF(Sales!$D$2:$D$501,A340))</f>
        <v/>
      </c>
      <c r="G340" s="13">
        <f>IF(A340="","",SUMIF(Sales!$D$2:$D$501,A340,Sales!$G$2:$G$501))</f>
        <v/>
      </c>
      <c r="H340" s="12">
        <f>IF(A340="","",IF(COUNTIF($A$2:$A$501,A340)&gt;1,"Duplicate client ID",IF(B340="","Add client name","OK")))</f>
        <v/>
      </c>
    </row>
    <row r="341" ht="23" customHeight="1">
      <c r="A341" s="14" t="n"/>
      <c r="B341" s="15" t="n"/>
      <c r="C341" s="15" t="n"/>
      <c r="D341" s="14" t="n"/>
      <c r="E341" s="15" t="n"/>
      <c r="F341" s="12">
        <f>IF(A341="","",COUNTIF(Sales!$D$2:$D$501,A341))</f>
        <v/>
      </c>
      <c r="G341" s="13">
        <f>IF(A341="","",SUMIF(Sales!$D$2:$D$501,A341,Sales!$G$2:$G$501))</f>
        <v/>
      </c>
      <c r="H341" s="12">
        <f>IF(A341="","",IF(COUNTIF($A$2:$A$501,A341)&gt;1,"Duplicate client ID",IF(B341="","Add client name","OK")))</f>
        <v/>
      </c>
    </row>
    <row r="342" ht="23" customHeight="1">
      <c r="A342" s="9" t="n"/>
      <c r="B342" s="10" t="n"/>
      <c r="C342" s="10" t="n"/>
      <c r="D342" s="9" t="n"/>
      <c r="E342" s="10" t="n"/>
      <c r="F342" s="12">
        <f>IF(A342="","",COUNTIF(Sales!$D$2:$D$501,A342))</f>
        <v/>
      </c>
      <c r="G342" s="13">
        <f>IF(A342="","",SUMIF(Sales!$D$2:$D$501,A342,Sales!$G$2:$G$501))</f>
        <v/>
      </c>
      <c r="H342" s="12">
        <f>IF(A342="","",IF(COUNTIF($A$2:$A$501,A342)&gt;1,"Duplicate client ID",IF(B342="","Add client name","OK")))</f>
        <v/>
      </c>
    </row>
    <row r="343" ht="23" customHeight="1">
      <c r="A343" s="14" t="n"/>
      <c r="B343" s="15" t="n"/>
      <c r="C343" s="15" t="n"/>
      <c r="D343" s="14" t="n"/>
      <c r="E343" s="15" t="n"/>
      <c r="F343" s="12">
        <f>IF(A343="","",COUNTIF(Sales!$D$2:$D$501,A343))</f>
        <v/>
      </c>
      <c r="G343" s="13">
        <f>IF(A343="","",SUMIF(Sales!$D$2:$D$501,A343,Sales!$G$2:$G$501))</f>
        <v/>
      </c>
      <c r="H343" s="12">
        <f>IF(A343="","",IF(COUNTIF($A$2:$A$501,A343)&gt;1,"Duplicate client ID",IF(B343="","Add client name","OK")))</f>
        <v/>
      </c>
    </row>
    <row r="344" ht="23" customHeight="1">
      <c r="A344" s="9" t="n"/>
      <c r="B344" s="10" t="n"/>
      <c r="C344" s="10" t="n"/>
      <c r="D344" s="9" t="n"/>
      <c r="E344" s="10" t="n"/>
      <c r="F344" s="12">
        <f>IF(A344="","",COUNTIF(Sales!$D$2:$D$501,A344))</f>
        <v/>
      </c>
      <c r="G344" s="13">
        <f>IF(A344="","",SUMIF(Sales!$D$2:$D$501,A344,Sales!$G$2:$G$501))</f>
        <v/>
      </c>
      <c r="H344" s="12">
        <f>IF(A344="","",IF(COUNTIF($A$2:$A$501,A344)&gt;1,"Duplicate client ID",IF(B344="","Add client name","OK")))</f>
        <v/>
      </c>
    </row>
    <row r="345" ht="23" customHeight="1">
      <c r="A345" s="14" t="n"/>
      <c r="B345" s="15" t="n"/>
      <c r="C345" s="15" t="n"/>
      <c r="D345" s="14" t="n"/>
      <c r="E345" s="15" t="n"/>
      <c r="F345" s="12">
        <f>IF(A345="","",COUNTIF(Sales!$D$2:$D$501,A345))</f>
        <v/>
      </c>
      <c r="G345" s="13">
        <f>IF(A345="","",SUMIF(Sales!$D$2:$D$501,A345,Sales!$G$2:$G$501))</f>
        <v/>
      </c>
      <c r="H345" s="12">
        <f>IF(A345="","",IF(COUNTIF($A$2:$A$501,A345)&gt;1,"Duplicate client ID",IF(B345="","Add client name","OK")))</f>
        <v/>
      </c>
    </row>
    <row r="346" ht="23" customHeight="1">
      <c r="A346" s="9" t="n"/>
      <c r="B346" s="10" t="n"/>
      <c r="C346" s="10" t="n"/>
      <c r="D346" s="9" t="n"/>
      <c r="E346" s="10" t="n"/>
      <c r="F346" s="12">
        <f>IF(A346="","",COUNTIF(Sales!$D$2:$D$501,A346))</f>
        <v/>
      </c>
      <c r="G346" s="13">
        <f>IF(A346="","",SUMIF(Sales!$D$2:$D$501,A346,Sales!$G$2:$G$501))</f>
        <v/>
      </c>
      <c r="H346" s="12">
        <f>IF(A346="","",IF(COUNTIF($A$2:$A$501,A346)&gt;1,"Duplicate client ID",IF(B346="","Add client name","OK")))</f>
        <v/>
      </c>
    </row>
    <row r="347" ht="23" customHeight="1">
      <c r="A347" s="14" t="n"/>
      <c r="B347" s="15" t="n"/>
      <c r="C347" s="15" t="n"/>
      <c r="D347" s="14" t="n"/>
      <c r="E347" s="15" t="n"/>
      <c r="F347" s="12">
        <f>IF(A347="","",COUNTIF(Sales!$D$2:$D$501,A347))</f>
        <v/>
      </c>
      <c r="G347" s="13">
        <f>IF(A347="","",SUMIF(Sales!$D$2:$D$501,A347,Sales!$G$2:$G$501))</f>
        <v/>
      </c>
      <c r="H347" s="12">
        <f>IF(A347="","",IF(COUNTIF($A$2:$A$501,A347)&gt;1,"Duplicate client ID",IF(B347="","Add client name","OK")))</f>
        <v/>
      </c>
    </row>
    <row r="348" ht="23" customHeight="1">
      <c r="A348" s="9" t="n"/>
      <c r="B348" s="10" t="n"/>
      <c r="C348" s="10" t="n"/>
      <c r="D348" s="9" t="n"/>
      <c r="E348" s="10" t="n"/>
      <c r="F348" s="12">
        <f>IF(A348="","",COUNTIF(Sales!$D$2:$D$501,A348))</f>
        <v/>
      </c>
      <c r="G348" s="13">
        <f>IF(A348="","",SUMIF(Sales!$D$2:$D$501,A348,Sales!$G$2:$G$501))</f>
        <v/>
      </c>
      <c r="H348" s="12">
        <f>IF(A348="","",IF(COUNTIF($A$2:$A$501,A348)&gt;1,"Duplicate client ID",IF(B348="","Add client name","OK")))</f>
        <v/>
      </c>
    </row>
    <row r="349" ht="23" customHeight="1">
      <c r="A349" s="14" t="n"/>
      <c r="B349" s="15" t="n"/>
      <c r="C349" s="15" t="n"/>
      <c r="D349" s="14" t="n"/>
      <c r="E349" s="15" t="n"/>
      <c r="F349" s="12">
        <f>IF(A349="","",COUNTIF(Sales!$D$2:$D$501,A349))</f>
        <v/>
      </c>
      <c r="G349" s="13">
        <f>IF(A349="","",SUMIF(Sales!$D$2:$D$501,A349,Sales!$G$2:$G$501))</f>
        <v/>
      </c>
      <c r="H349" s="12">
        <f>IF(A349="","",IF(COUNTIF($A$2:$A$501,A349)&gt;1,"Duplicate client ID",IF(B349="","Add client name","OK")))</f>
        <v/>
      </c>
    </row>
    <row r="350" ht="23" customHeight="1">
      <c r="A350" s="9" t="n"/>
      <c r="B350" s="10" t="n"/>
      <c r="C350" s="10" t="n"/>
      <c r="D350" s="9" t="n"/>
      <c r="E350" s="10" t="n"/>
      <c r="F350" s="12">
        <f>IF(A350="","",COUNTIF(Sales!$D$2:$D$501,A350))</f>
        <v/>
      </c>
      <c r="G350" s="13">
        <f>IF(A350="","",SUMIF(Sales!$D$2:$D$501,A350,Sales!$G$2:$G$501))</f>
        <v/>
      </c>
      <c r="H350" s="12">
        <f>IF(A350="","",IF(COUNTIF($A$2:$A$501,A350)&gt;1,"Duplicate client ID",IF(B350="","Add client name","OK")))</f>
        <v/>
      </c>
    </row>
    <row r="351" ht="23" customHeight="1">
      <c r="A351" s="14" t="n"/>
      <c r="B351" s="15" t="n"/>
      <c r="C351" s="15" t="n"/>
      <c r="D351" s="14" t="n"/>
      <c r="E351" s="15" t="n"/>
      <c r="F351" s="12">
        <f>IF(A351="","",COUNTIF(Sales!$D$2:$D$501,A351))</f>
        <v/>
      </c>
      <c r="G351" s="13">
        <f>IF(A351="","",SUMIF(Sales!$D$2:$D$501,A351,Sales!$G$2:$G$501))</f>
        <v/>
      </c>
      <c r="H351" s="12">
        <f>IF(A351="","",IF(COUNTIF($A$2:$A$501,A351)&gt;1,"Duplicate client ID",IF(B351="","Add client name","OK")))</f>
        <v/>
      </c>
    </row>
    <row r="352" ht="23" customHeight="1">
      <c r="A352" s="9" t="n"/>
      <c r="B352" s="10" t="n"/>
      <c r="C352" s="10" t="n"/>
      <c r="D352" s="9" t="n"/>
      <c r="E352" s="10" t="n"/>
      <c r="F352" s="12">
        <f>IF(A352="","",COUNTIF(Sales!$D$2:$D$501,A352))</f>
        <v/>
      </c>
      <c r="G352" s="13">
        <f>IF(A352="","",SUMIF(Sales!$D$2:$D$501,A352,Sales!$G$2:$G$501))</f>
        <v/>
      </c>
      <c r="H352" s="12">
        <f>IF(A352="","",IF(COUNTIF($A$2:$A$501,A352)&gt;1,"Duplicate client ID",IF(B352="","Add client name","OK")))</f>
        <v/>
      </c>
    </row>
    <row r="353" ht="23" customHeight="1">
      <c r="A353" s="14" t="n"/>
      <c r="B353" s="15" t="n"/>
      <c r="C353" s="15" t="n"/>
      <c r="D353" s="14" t="n"/>
      <c r="E353" s="15" t="n"/>
      <c r="F353" s="12">
        <f>IF(A353="","",COUNTIF(Sales!$D$2:$D$501,A353))</f>
        <v/>
      </c>
      <c r="G353" s="13">
        <f>IF(A353="","",SUMIF(Sales!$D$2:$D$501,A353,Sales!$G$2:$G$501))</f>
        <v/>
      </c>
      <c r="H353" s="12">
        <f>IF(A353="","",IF(COUNTIF($A$2:$A$501,A353)&gt;1,"Duplicate client ID",IF(B353="","Add client name","OK")))</f>
        <v/>
      </c>
    </row>
    <row r="354" ht="23" customHeight="1">
      <c r="A354" s="9" t="n"/>
      <c r="B354" s="10" t="n"/>
      <c r="C354" s="10" t="n"/>
      <c r="D354" s="9" t="n"/>
      <c r="E354" s="10" t="n"/>
      <c r="F354" s="12">
        <f>IF(A354="","",COUNTIF(Sales!$D$2:$D$501,A354))</f>
        <v/>
      </c>
      <c r="G354" s="13">
        <f>IF(A354="","",SUMIF(Sales!$D$2:$D$501,A354,Sales!$G$2:$G$501))</f>
        <v/>
      </c>
      <c r="H354" s="12">
        <f>IF(A354="","",IF(COUNTIF($A$2:$A$501,A354)&gt;1,"Duplicate client ID",IF(B354="","Add client name","OK")))</f>
        <v/>
      </c>
    </row>
    <row r="355" ht="23" customHeight="1">
      <c r="A355" s="14" t="n"/>
      <c r="B355" s="15" t="n"/>
      <c r="C355" s="15" t="n"/>
      <c r="D355" s="14" t="n"/>
      <c r="E355" s="15" t="n"/>
      <c r="F355" s="12">
        <f>IF(A355="","",COUNTIF(Sales!$D$2:$D$501,A355))</f>
        <v/>
      </c>
      <c r="G355" s="13">
        <f>IF(A355="","",SUMIF(Sales!$D$2:$D$501,A355,Sales!$G$2:$G$501))</f>
        <v/>
      </c>
      <c r="H355" s="12">
        <f>IF(A355="","",IF(COUNTIF($A$2:$A$501,A355)&gt;1,"Duplicate client ID",IF(B355="","Add client name","OK")))</f>
        <v/>
      </c>
    </row>
    <row r="356" ht="23" customHeight="1">
      <c r="A356" s="9" t="n"/>
      <c r="B356" s="10" t="n"/>
      <c r="C356" s="10" t="n"/>
      <c r="D356" s="9" t="n"/>
      <c r="E356" s="10" t="n"/>
      <c r="F356" s="12">
        <f>IF(A356="","",COUNTIF(Sales!$D$2:$D$501,A356))</f>
        <v/>
      </c>
      <c r="G356" s="13">
        <f>IF(A356="","",SUMIF(Sales!$D$2:$D$501,A356,Sales!$G$2:$G$501))</f>
        <v/>
      </c>
      <c r="H356" s="12">
        <f>IF(A356="","",IF(COUNTIF($A$2:$A$501,A356)&gt;1,"Duplicate client ID",IF(B356="","Add client name","OK")))</f>
        <v/>
      </c>
    </row>
    <row r="357" ht="23" customHeight="1">
      <c r="A357" s="14" t="n"/>
      <c r="B357" s="15" t="n"/>
      <c r="C357" s="15" t="n"/>
      <c r="D357" s="14" t="n"/>
      <c r="E357" s="15" t="n"/>
      <c r="F357" s="12">
        <f>IF(A357="","",COUNTIF(Sales!$D$2:$D$501,A357))</f>
        <v/>
      </c>
      <c r="G357" s="13">
        <f>IF(A357="","",SUMIF(Sales!$D$2:$D$501,A357,Sales!$G$2:$G$501))</f>
        <v/>
      </c>
      <c r="H357" s="12">
        <f>IF(A357="","",IF(COUNTIF($A$2:$A$501,A357)&gt;1,"Duplicate client ID",IF(B357="","Add client name","OK")))</f>
        <v/>
      </c>
    </row>
    <row r="358" ht="23" customHeight="1">
      <c r="A358" s="9" t="n"/>
      <c r="B358" s="10" t="n"/>
      <c r="C358" s="10" t="n"/>
      <c r="D358" s="9" t="n"/>
      <c r="E358" s="10" t="n"/>
      <c r="F358" s="12">
        <f>IF(A358="","",COUNTIF(Sales!$D$2:$D$501,A358))</f>
        <v/>
      </c>
      <c r="G358" s="13">
        <f>IF(A358="","",SUMIF(Sales!$D$2:$D$501,A358,Sales!$G$2:$G$501))</f>
        <v/>
      </c>
      <c r="H358" s="12">
        <f>IF(A358="","",IF(COUNTIF($A$2:$A$501,A358)&gt;1,"Duplicate client ID",IF(B358="","Add client name","OK")))</f>
        <v/>
      </c>
    </row>
    <row r="359" ht="23" customHeight="1">
      <c r="A359" s="14" t="n"/>
      <c r="B359" s="15" t="n"/>
      <c r="C359" s="15" t="n"/>
      <c r="D359" s="14" t="n"/>
      <c r="E359" s="15" t="n"/>
      <c r="F359" s="12">
        <f>IF(A359="","",COUNTIF(Sales!$D$2:$D$501,A359))</f>
        <v/>
      </c>
      <c r="G359" s="13">
        <f>IF(A359="","",SUMIF(Sales!$D$2:$D$501,A359,Sales!$G$2:$G$501))</f>
        <v/>
      </c>
      <c r="H359" s="12">
        <f>IF(A359="","",IF(COUNTIF($A$2:$A$501,A359)&gt;1,"Duplicate client ID",IF(B359="","Add client name","OK")))</f>
        <v/>
      </c>
    </row>
    <row r="360" ht="23" customHeight="1">
      <c r="A360" s="9" t="n"/>
      <c r="B360" s="10" t="n"/>
      <c r="C360" s="10" t="n"/>
      <c r="D360" s="9" t="n"/>
      <c r="E360" s="10" t="n"/>
      <c r="F360" s="12">
        <f>IF(A360="","",COUNTIF(Sales!$D$2:$D$501,A360))</f>
        <v/>
      </c>
      <c r="G360" s="13">
        <f>IF(A360="","",SUMIF(Sales!$D$2:$D$501,A360,Sales!$G$2:$G$501))</f>
        <v/>
      </c>
      <c r="H360" s="12">
        <f>IF(A360="","",IF(COUNTIF($A$2:$A$501,A360)&gt;1,"Duplicate client ID",IF(B360="","Add client name","OK")))</f>
        <v/>
      </c>
    </row>
    <row r="361" ht="23" customHeight="1">
      <c r="A361" s="14" t="n"/>
      <c r="B361" s="15" t="n"/>
      <c r="C361" s="15" t="n"/>
      <c r="D361" s="14" t="n"/>
      <c r="E361" s="15" t="n"/>
      <c r="F361" s="12">
        <f>IF(A361="","",COUNTIF(Sales!$D$2:$D$501,A361))</f>
        <v/>
      </c>
      <c r="G361" s="13">
        <f>IF(A361="","",SUMIF(Sales!$D$2:$D$501,A361,Sales!$G$2:$G$501))</f>
        <v/>
      </c>
      <c r="H361" s="12">
        <f>IF(A361="","",IF(COUNTIF($A$2:$A$501,A361)&gt;1,"Duplicate client ID",IF(B361="","Add client name","OK")))</f>
        <v/>
      </c>
    </row>
    <row r="362" ht="23" customHeight="1">
      <c r="A362" s="9" t="n"/>
      <c r="B362" s="10" t="n"/>
      <c r="C362" s="10" t="n"/>
      <c r="D362" s="9" t="n"/>
      <c r="E362" s="10" t="n"/>
      <c r="F362" s="12">
        <f>IF(A362="","",COUNTIF(Sales!$D$2:$D$501,A362))</f>
        <v/>
      </c>
      <c r="G362" s="13">
        <f>IF(A362="","",SUMIF(Sales!$D$2:$D$501,A362,Sales!$G$2:$G$501))</f>
        <v/>
      </c>
      <c r="H362" s="12">
        <f>IF(A362="","",IF(COUNTIF($A$2:$A$501,A362)&gt;1,"Duplicate client ID",IF(B362="","Add client name","OK")))</f>
        <v/>
      </c>
    </row>
    <row r="363" ht="23" customHeight="1">
      <c r="A363" s="14" t="n"/>
      <c r="B363" s="15" t="n"/>
      <c r="C363" s="15" t="n"/>
      <c r="D363" s="14" t="n"/>
      <c r="E363" s="15" t="n"/>
      <c r="F363" s="12">
        <f>IF(A363="","",COUNTIF(Sales!$D$2:$D$501,A363))</f>
        <v/>
      </c>
      <c r="G363" s="13">
        <f>IF(A363="","",SUMIF(Sales!$D$2:$D$501,A363,Sales!$G$2:$G$501))</f>
        <v/>
      </c>
      <c r="H363" s="12">
        <f>IF(A363="","",IF(COUNTIF($A$2:$A$501,A363)&gt;1,"Duplicate client ID",IF(B363="","Add client name","OK")))</f>
        <v/>
      </c>
    </row>
    <row r="364" ht="23" customHeight="1">
      <c r="A364" s="9" t="n"/>
      <c r="B364" s="10" t="n"/>
      <c r="C364" s="10" t="n"/>
      <c r="D364" s="9" t="n"/>
      <c r="E364" s="10" t="n"/>
      <c r="F364" s="12">
        <f>IF(A364="","",COUNTIF(Sales!$D$2:$D$501,A364))</f>
        <v/>
      </c>
      <c r="G364" s="13">
        <f>IF(A364="","",SUMIF(Sales!$D$2:$D$501,A364,Sales!$G$2:$G$501))</f>
        <v/>
      </c>
      <c r="H364" s="12">
        <f>IF(A364="","",IF(COUNTIF($A$2:$A$501,A364)&gt;1,"Duplicate client ID",IF(B364="","Add client name","OK")))</f>
        <v/>
      </c>
    </row>
    <row r="365" ht="23" customHeight="1">
      <c r="A365" s="14" t="n"/>
      <c r="B365" s="15" t="n"/>
      <c r="C365" s="15" t="n"/>
      <c r="D365" s="14" t="n"/>
      <c r="E365" s="15" t="n"/>
      <c r="F365" s="12">
        <f>IF(A365="","",COUNTIF(Sales!$D$2:$D$501,A365))</f>
        <v/>
      </c>
      <c r="G365" s="13">
        <f>IF(A365="","",SUMIF(Sales!$D$2:$D$501,A365,Sales!$G$2:$G$501))</f>
        <v/>
      </c>
      <c r="H365" s="12">
        <f>IF(A365="","",IF(COUNTIF($A$2:$A$501,A365)&gt;1,"Duplicate client ID",IF(B365="","Add client name","OK")))</f>
        <v/>
      </c>
    </row>
    <row r="366" ht="23" customHeight="1">
      <c r="A366" s="9" t="n"/>
      <c r="B366" s="10" t="n"/>
      <c r="C366" s="10" t="n"/>
      <c r="D366" s="9" t="n"/>
      <c r="E366" s="10" t="n"/>
      <c r="F366" s="12">
        <f>IF(A366="","",COUNTIF(Sales!$D$2:$D$501,A366))</f>
        <v/>
      </c>
      <c r="G366" s="13">
        <f>IF(A366="","",SUMIF(Sales!$D$2:$D$501,A366,Sales!$G$2:$G$501))</f>
        <v/>
      </c>
      <c r="H366" s="12">
        <f>IF(A366="","",IF(COUNTIF($A$2:$A$501,A366)&gt;1,"Duplicate client ID",IF(B366="","Add client name","OK")))</f>
        <v/>
      </c>
    </row>
    <row r="367" ht="23" customHeight="1">
      <c r="A367" s="14" t="n"/>
      <c r="B367" s="15" t="n"/>
      <c r="C367" s="15" t="n"/>
      <c r="D367" s="14" t="n"/>
      <c r="E367" s="15" t="n"/>
      <c r="F367" s="12">
        <f>IF(A367="","",COUNTIF(Sales!$D$2:$D$501,A367))</f>
        <v/>
      </c>
      <c r="G367" s="13">
        <f>IF(A367="","",SUMIF(Sales!$D$2:$D$501,A367,Sales!$G$2:$G$501))</f>
        <v/>
      </c>
      <c r="H367" s="12">
        <f>IF(A367="","",IF(COUNTIF($A$2:$A$501,A367)&gt;1,"Duplicate client ID",IF(B367="","Add client name","OK")))</f>
        <v/>
      </c>
    </row>
    <row r="368" ht="23" customHeight="1">
      <c r="A368" s="9" t="n"/>
      <c r="B368" s="10" t="n"/>
      <c r="C368" s="10" t="n"/>
      <c r="D368" s="9" t="n"/>
      <c r="E368" s="10" t="n"/>
      <c r="F368" s="12">
        <f>IF(A368="","",COUNTIF(Sales!$D$2:$D$501,A368))</f>
        <v/>
      </c>
      <c r="G368" s="13">
        <f>IF(A368="","",SUMIF(Sales!$D$2:$D$501,A368,Sales!$G$2:$G$501))</f>
        <v/>
      </c>
      <c r="H368" s="12">
        <f>IF(A368="","",IF(COUNTIF($A$2:$A$501,A368)&gt;1,"Duplicate client ID",IF(B368="","Add client name","OK")))</f>
        <v/>
      </c>
    </row>
    <row r="369" ht="23" customHeight="1">
      <c r="A369" s="14" t="n"/>
      <c r="B369" s="15" t="n"/>
      <c r="C369" s="15" t="n"/>
      <c r="D369" s="14" t="n"/>
      <c r="E369" s="15" t="n"/>
      <c r="F369" s="12">
        <f>IF(A369="","",COUNTIF(Sales!$D$2:$D$501,A369))</f>
        <v/>
      </c>
      <c r="G369" s="13">
        <f>IF(A369="","",SUMIF(Sales!$D$2:$D$501,A369,Sales!$G$2:$G$501))</f>
        <v/>
      </c>
      <c r="H369" s="12">
        <f>IF(A369="","",IF(COUNTIF($A$2:$A$501,A369)&gt;1,"Duplicate client ID",IF(B369="","Add client name","OK")))</f>
        <v/>
      </c>
    </row>
    <row r="370" ht="23" customHeight="1">
      <c r="A370" s="9" t="n"/>
      <c r="B370" s="10" t="n"/>
      <c r="C370" s="10" t="n"/>
      <c r="D370" s="9" t="n"/>
      <c r="E370" s="10" t="n"/>
      <c r="F370" s="12">
        <f>IF(A370="","",COUNTIF(Sales!$D$2:$D$501,A370))</f>
        <v/>
      </c>
      <c r="G370" s="13">
        <f>IF(A370="","",SUMIF(Sales!$D$2:$D$501,A370,Sales!$G$2:$G$501))</f>
        <v/>
      </c>
      <c r="H370" s="12">
        <f>IF(A370="","",IF(COUNTIF($A$2:$A$501,A370)&gt;1,"Duplicate client ID",IF(B370="","Add client name","OK")))</f>
        <v/>
      </c>
    </row>
    <row r="371" ht="23" customHeight="1">
      <c r="A371" s="14" t="n"/>
      <c r="B371" s="15" t="n"/>
      <c r="C371" s="15" t="n"/>
      <c r="D371" s="14" t="n"/>
      <c r="E371" s="15" t="n"/>
      <c r="F371" s="12">
        <f>IF(A371="","",COUNTIF(Sales!$D$2:$D$501,A371))</f>
        <v/>
      </c>
      <c r="G371" s="13">
        <f>IF(A371="","",SUMIF(Sales!$D$2:$D$501,A371,Sales!$G$2:$G$501))</f>
        <v/>
      </c>
      <c r="H371" s="12">
        <f>IF(A371="","",IF(COUNTIF($A$2:$A$501,A371)&gt;1,"Duplicate client ID",IF(B371="","Add client name","OK")))</f>
        <v/>
      </c>
    </row>
    <row r="372" ht="23" customHeight="1">
      <c r="A372" s="9" t="n"/>
      <c r="B372" s="10" t="n"/>
      <c r="C372" s="10" t="n"/>
      <c r="D372" s="9" t="n"/>
      <c r="E372" s="10" t="n"/>
      <c r="F372" s="12">
        <f>IF(A372="","",COUNTIF(Sales!$D$2:$D$501,A372))</f>
        <v/>
      </c>
      <c r="G372" s="13">
        <f>IF(A372="","",SUMIF(Sales!$D$2:$D$501,A372,Sales!$G$2:$G$501))</f>
        <v/>
      </c>
      <c r="H372" s="12">
        <f>IF(A372="","",IF(COUNTIF($A$2:$A$501,A372)&gt;1,"Duplicate client ID",IF(B372="","Add client name","OK")))</f>
        <v/>
      </c>
    </row>
    <row r="373" ht="23" customHeight="1">
      <c r="A373" s="14" t="n"/>
      <c r="B373" s="15" t="n"/>
      <c r="C373" s="15" t="n"/>
      <c r="D373" s="14" t="n"/>
      <c r="E373" s="15" t="n"/>
      <c r="F373" s="12">
        <f>IF(A373="","",COUNTIF(Sales!$D$2:$D$501,A373))</f>
        <v/>
      </c>
      <c r="G373" s="13">
        <f>IF(A373="","",SUMIF(Sales!$D$2:$D$501,A373,Sales!$G$2:$G$501))</f>
        <v/>
      </c>
      <c r="H373" s="12">
        <f>IF(A373="","",IF(COUNTIF($A$2:$A$501,A373)&gt;1,"Duplicate client ID",IF(B373="","Add client name","OK")))</f>
        <v/>
      </c>
    </row>
    <row r="374" ht="23" customHeight="1">
      <c r="A374" s="9" t="n"/>
      <c r="B374" s="10" t="n"/>
      <c r="C374" s="10" t="n"/>
      <c r="D374" s="9" t="n"/>
      <c r="E374" s="10" t="n"/>
      <c r="F374" s="12">
        <f>IF(A374="","",COUNTIF(Sales!$D$2:$D$501,A374))</f>
        <v/>
      </c>
      <c r="G374" s="13">
        <f>IF(A374="","",SUMIF(Sales!$D$2:$D$501,A374,Sales!$G$2:$G$501))</f>
        <v/>
      </c>
      <c r="H374" s="12">
        <f>IF(A374="","",IF(COUNTIF($A$2:$A$501,A374)&gt;1,"Duplicate client ID",IF(B374="","Add client name","OK")))</f>
        <v/>
      </c>
    </row>
    <row r="375" ht="23" customHeight="1">
      <c r="A375" s="14" t="n"/>
      <c r="B375" s="15" t="n"/>
      <c r="C375" s="15" t="n"/>
      <c r="D375" s="14" t="n"/>
      <c r="E375" s="15" t="n"/>
      <c r="F375" s="12">
        <f>IF(A375="","",COUNTIF(Sales!$D$2:$D$501,A375))</f>
        <v/>
      </c>
      <c r="G375" s="13">
        <f>IF(A375="","",SUMIF(Sales!$D$2:$D$501,A375,Sales!$G$2:$G$501))</f>
        <v/>
      </c>
      <c r="H375" s="12">
        <f>IF(A375="","",IF(COUNTIF($A$2:$A$501,A375)&gt;1,"Duplicate client ID",IF(B375="","Add client name","OK")))</f>
        <v/>
      </c>
    </row>
    <row r="376" ht="23" customHeight="1">
      <c r="A376" s="9" t="n"/>
      <c r="B376" s="10" t="n"/>
      <c r="C376" s="10" t="n"/>
      <c r="D376" s="9" t="n"/>
      <c r="E376" s="10" t="n"/>
      <c r="F376" s="12">
        <f>IF(A376="","",COUNTIF(Sales!$D$2:$D$501,A376))</f>
        <v/>
      </c>
      <c r="G376" s="13">
        <f>IF(A376="","",SUMIF(Sales!$D$2:$D$501,A376,Sales!$G$2:$G$501))</f>
        <v/>
      </c>
      <c r="H376" s="12">
        <f>IF(A376="","",IF(COUNTIF($A$2:$A$501,A376)&gt;1,"Duplicate client ID",IF(B376="","Add client name","OK")))</f>
        <v/>
      </c>
    </row>
    <row r="377" ht="23" customHeight="1">
      <c r="A377" s="14" t="n"/>
      <c r="B377" s="15" t="n"/>
      <c r="C377" s="15" t="n"/>
      <c r="D377" s="14" t="n"/>
      <c r="E377" s="15" t="n"/>
      <c r="F377" s="12">
        <f>IF(A377="","",COUNTIF(Sales!$D$2:$D$501,A377))</f>
        <v/>
      </c>
      <c r="G377" s="13">
        <f>IF(A377="","",SUMIF(Sales!$D$2:$D$501,A377,Sales!$G$2:$G$501))</f>
        <v/>
      </c>
      <c r="H377" s="12">
        <f>IF(A377="","",IF(COUNTIF($A$2:$A$501,A377)&gt;1,"Duplicate client ID",IF(B377="","Add client name","OK")))</f>
        <v/>
      </c>
    </row>
    <row r="378" ht="23" customHeight="1">
      <c r="A378" s="9" t="n"/>
      <c r="B378" s="10" t="n"/>
      <c r="C378" s="10" t="n"/>
      <c r="D378" s="9" t="n"/>
      <c r="E378" s="10" t="n"/>
      <c r="F378" s="12">
        <f>IF(A378="","",COUNTIF(Sales!$D$2:$D$501,A378))</f>
        <v/>
      </c>
      <c r="G378" s="13">
        <f>IF(A378="","",SUMIF(Sales!$D$2:$D$501,A378,Sales!$G$2:$G$501))</f>
        <v/>
      </c>
      <c r="H378" s="12">
        <f>IF(A378="","",IF(COUNTIF($A$2:$A$501,A378)&gt;1,"Duplicate client ID",IF(B378="","Add client name","OK")))</f>
        <v/>
      </c>
    </row>
    <row r="379" ht="23" customHeight="1">
      <c r="A379" s="14" t="n"/>
      <c r="B379" s="15" t="n"/>
      <c r="C379" s="15" t="n"/>
      <c r="D379" s="14" t="n"/>
      <c r="E379" s="15" t="n"/>
      <c r="F379" s="12">
        <f>IF(A379="","",COUNTIF(Sales!$D$2:$D$501,A379))</f>
        <v/>
      </c>
      <c r="G379" s="13">
        <f>IF(A379="","",SUMIF(Sales!$D$2:$D$501,A379,Sales!$G$2:$G$501))</f>
        <v/>
      </c>
      <c r="H379" s="12">
        <f>IF(A379="","",IF(COUNTIF($A$2:$A$501,A379)&gt;1,"Duplicate client ID",IF(B379="","Add client name","OK")))</f>
        <v/>
      </c>
    </row>
    <row r="380" ht="23" customHeight="1">
      <c r="A380" s="9" t="n"/>
      <c r="B380" s="10" t="n"/>
      <c r="C380" s="10" t="n"/>
      <c r="D380" s="9" t="n"/>
      <c r="E380" s="10" t="n"/>
      <c r="F380" s="12">
        <f>IF(A380="","",COUNTIF(Sales!$D$2:$D$501,A380))</f>
        <v/>
      </c>
      <c r="G380" s="13">
        <f>IF(A380="","",SUMIF(Sales!$D$2:$D$501,A380,Sales!$G$2:$G$501))</f>
        <v/>
      </c>
      <c r="H380" s="12">
        <f>IF(A380="","",IF(COUNTIF($A$2:$A$501,A380)&gt;1,"Duplicate client ID",IF(B380="","Add client name","OK")))</f>
        <v/>
      </c>
    </row>
    <row r="381" ht="23" customHeight="1">
      <c r="A381" s="14" t="n"/>
      <c r="B381" s="15" t="n"/>
      <c r="C381" s="15" t="n"/>
      <c r="D381" s="14" t="n"/>
      <c r="E381" s="15" t="n"/>
      <c r="F381" s="12">
        <f>IF(A381="","",COUNTIF(Sales!$D$2:$D$501,A381))</f>
        <v/>
      </c>
      <c r="G381" s="13">
        <f>IF(A381="","",SUMIF(Sales!$D$2:$D$501,A381,Sales!$G$2:$G$501))</f>
        <v/>
      </c>
      <c r="H381" s="12">
        <f>IF(A381="","",IF(COUNTIF($A$2:$A$501,A381)&gt;1,"Duplicate client ID",IF(B381="","Add client name","OK")))</f>
        <v/>
      </c>
    </row>
    <row r="382" ht="23" customHeight="1">
      <c r="A382" s="9" t="n"/>
      <c r="B382" s="10" t="n"/>
      <c r="C382" s="10" t="n"/>
      <c r="D382" s="9" t="n"/>
      <c r="E382" s="10" t="n"/>
      <c r="F382" s="12">
        <f>IF(A382="","",COUNTIF(Sales!$D$2:$D$501,A382))</f>
        <v/>
      </c>
      <c r="G382" s="13">
        <f>IF(A382="","",SUMIF(Sales!$D$2:$D$501,A382,Sales!$G$2:$G$501))</f>
        <v/>
      </c>
      <c r="H382" s="12">
        <f>IF(A382="","",IF(COUNTIF($A$2:$A$501,A382)&gt;1,"Duplicate client ID",IF(B382="","Add client name","OK")))</f>
        <v/>
      </c>
    </row>
    <row r="383" ht="23" customHeight="1">
      <c r="A383" s="14" t="n"/>
      <c r="B383" s="15" t="n"/>
      <c r="C383" s="15" t="n"/>
      <c r="D383" s="14" t="n"/>
      <c r="E383" s="15" t="n"/>
      <c r="F383" s="12">
        <f>IF(A383="","",COUNTIF(Sales!$D$2:$D$501,A383))</f>
        <v/>
      </c>
      <c r="G383" s="13">
        <f>IF(A383="","",SUMIF(Sales!$D$2:$D$501,A383,Sales!$G$2:$G$501))</f>
        <v/>
      </c>
      <c r="H383" s="12">
        <f>IF(A383="","",IF(COUNTIF($A$2:$A$501,A383)&gt;1,"Duplicate client ID",IF(B383="","Add client name","OK")))</f>
        <v/>
      </c>
    </row>
    <row r="384" ht="23" customHeight="1">
      <c r="A384" s="9" t="n"/>
      <c r="B384" s="10" t="n"/>
      <c r="C384" s="10" t="n"/>
      <c r="D384" s="9" t="n"/>
      <c r="E384" s="10" t="n"/>
      <c r="F384" s="12">
        <f>IF(A384="","",COUNTIF(Sales!$D$2:$D$501,A384))</f>
        <v/>
      </c>
      <c r="G384" s="13">
        <f>IF(A384="","",SUMIF(Sales!$D$2:$D$501,A384,Sales!$G$2:$G$501))</f>
        <v/>
      </c>
      <c r="H384" s="12">
        <f>IF(A384="","",IF(COUNTIF($A$2:$A$501,A384)&gt;1,"Duplicate client ID",IF(B384="","Add client name","OK")))</f>
        <v/>
      </c>
    </row>
    <row r="385" ht="23" customHeight="1">
      <c r="A385" s="14" t="n"/>
      <c r="B385" s="15" t="n"/>
      <c r="C385" s="15" t="n"/>
      <c r="D385" s="14" t="n"/>
      <c r="E385" s="15" t="n"/>
      <c r="F385" s="12">
        <f>IF(A385="","",COUNTIF(Sales!$D$2:$D$501,A385))</f>
        <v/>
      </c>
      <c r="G385" s="13">
        <f>IF(A385="","",SUMIF(Sales!$D$2:$D$501,A385,Sales!$G$2:$G$501))</f>
        <v/>
      </c>
      <c r="H385" s="12">
        <f>IF(A385="","",IF(COUNTIF($A$2:$A$501,A385)&gt;1,"Duplicate client ID",IF(B385="","Add client name","OK")))</f>
        <v/>
      </c>
    </row>
    <row r="386" ht="23" customHeight="1">
      <c r="A386" s="9" t="n"/>
      <c r="B386" s="10" t="n"/>
      <c r="C386" s="10" t="n"/>
      <c r="D386" s="9" t="n"/>
      <c r="E386" s="10" t="n"/>
      <c r="F386" s="12">
        <f>IF(A386="","",COUNTIF(Sales!$D$2:$D$501,A386))</f>
        <v/>
      </c>
      <c r="G386" s="13">
        <f>IF(A386="","",SUMIF(Sales!$D$2:$D$501,A386,Sales!$G$2:$G$501))</f>
        <v/>
      </c>
      <c r="H386" s="12">
        <f>IF(A386="","",IF(COUNTIF($A$2:$A$501,A386)&gt;1,"Duplicate client ID",IF(B386="","Add client name","OK")))</f>
        <v/>
      </c>
    </row>
    <row r="387" ht="23" customHeight="1">
      <c r="A387" s="14" t="n"/>
      <c r="B387" s="15" t="n"/>
      <c r="C387" s="15" t="n"/>
      <c r="D387" s="14" t="n"/>
      <c r="E387" s="15" t="n"/>
      <c r="F387" s="12">
        <f>IF(A387="","",COUNTIF(Sales!$D$2:$D$501,A387))</f>
        <v/>
      </c>
      <c r="G387" s="13">
        <f>IF(A387="","",SUMIF(Sales!$D$2:$D$501,A387,Sales!$G$2:$G$501))</f>
        <v/>
      </c>
      <c r="H387" s="12">
        <f>IF(A387="","",IF(COUNTIF($A$2:$A$501,A387)&gt;1,"Duplicate client ID",IF(B387="","Add client name","OK")))</f>
        <v/>
      </c>
    </row>
    <row r="388" ht="23" customHeight="1">
      <c r="A388" s="9" t="n"/>
      <c r="B388" s="10" t="n"/>
      <c r="C388" s="10" t="n"/>
      <c r="D388" s="9" t="n"/>
      <c r="E388" s="10" t="n"/>
      <c r="F388" s="12">
        <f>IF(A388="","",COUNTIF(Sales!$D$2:$D$501,A388))</f>
        <v/>
      </c>
      <c r="G388" s="13">
        <f>IF(A388="","",SUMIF(Sales!$D$2:$D$501,A388,Sales!$G$2:$G$501))</f>
        <v/>
      </c>
      <c r="H388" s="12">
        <f>IF(A388="","",IF(COUNTIF($A$2:$A$501,A388)&gt;1,"Duplicate client ID",IF(B388="","Add client name","OK")))</f>
        <v/>
      </c>
    </row>
    <row r="389" ht="23" customHeight="1">
      <c r="A389" s="14" t="n"/>
      <c r="B389" s="15" t="n"/>
      <c r="C389" s="15" t="n"/>
      <c r="D389" s="14" t="n"/>
      <c r="E389" s="15" t="n"/>
      <c r="F389" s="12">
        <f>IF(A389="","",COUNTIF(Sales!$D$2:$D$501,A389))</f>
        <v/>
      </c>
      <c r="G389" s="13">
        <f>IF(A389="","",SUMIF(Sales!$D$2:$D$501,A389,Sales!$G$2:$G$501))</f>
        <v/>
      </c>
      <c r="H389" s="12">
        <f>IF(A389="","",IF(COUNTIF($A$2:$A$501,A389)&gt;1,"Duplicate client ID",IF(B389="","Add client name","OK")))</f>
        <v/>
      </c>
    </row>
    <row r="390" ht="23" customHeight="1">
      <c r="A390" s="9" t="n"/>
      <c r="B390" s="10" t="n"/>
      <c r="C390" s="10" t="n"/>
      <c r="D390" s="9" t="n"/>
      <c r="E390" s="10" t="n"/>
      <c r="F390" s="12">
        <f>IF(A390="","",COUNTIF(Sales!$D$2:$D$501,A390))</f>
        <v/>
      </c>
      <c r="G390" s="13">
        <f>IF(A390="","",SUMIF(Sales!$D$2:$D$501,A390,Sales!$G$2:$G$501))</f>
        <v/>
      </c>
      <c r="H390" s="12">
        <f>IF(A390="","",IF(COUNTIF($A$2:$A$501,A390)&gt;1,"Duplicate client ID",IF(B390="","Add client name","OK")))</f>
        <v/>
      </c>
    </row>
    <row r="391" ht="23" customHeight="1">
      <c r="A391" s="14" t="n"/>
      <c r="B391" s="15" t="n"/>
      <c r="C391" s="15" t="n"/>
      <c r="D391" s="14" t="n"/>
      <c r="E391" s="15" t="n"/>
      <c r="F391" s="12">
        <f>IF(A391="","",COUNTIF(Sales!$D$2:$D$501,A391))</f>
        <v/>
      </c>
      <c r="G391" s="13">
        <f>IF(A391="","",SUMIF(Sales!$D$2:$D$501,A391,Sales!$G$2:$G$501))</f>
        <v/>
      </c>
      <c r="H391" s="12">
        <f>IF(A391="","",IF(COUNTIF($A$2:$A$501,A391)&gt;1,"Duplicate client ID",IF(B391="","Add client name","OK")))</f>
        <v/>
      </c>
    </row>
    <row r="392" ht="23" customHeight="1">
      <c r="A392" s="9" t="n"/>
      <c r="B392" s="10" t="n"/>
      <c r="C392" s="10" t="n"/>
      <c r="D392" s="9" t="n"/>
      <c r="E392" s="10" t="n"/>
      <c r="F392" s="12">
        <f>IF(A392="","",COUNTIF(Sales!$D$2:$D$501,A392))</f>
        <v/>
      </c>
      <c r="G392" s="13">
        <f>IF(A392="","",SUMIF(Sales!$D$2:$D$501,A392,Sales!$G$2:$G$501))</f>
        <v/>
      </c>
      <c r="H392" s="12">
        <f>IF(A392="","",IF(COUNTIF($A$2:$A$501,A392)&gt;1,"Duplicate client ID",IF(B392="","Add client name","OK")))</f>
        <v/>
      </c>
    </row>
    <row r="393" ht="23" customHeight="1">
      <c r="A393" s="14" t="n"/>
      <c r="B393" s="15" t="n"/>
      <c r="C393" s="15" t="n"/>
      <c r="D393" s="14" t="n"/>
      <c r="E393" s="15" t="n"/>
      <c r="F393" s="12">
        <f>IF(A393="","",COUNTIF(Sales!$D$2:$D$501,A393))</f>
        <v/>
      </c>
      <c r="G393" s="13">
        <f>IF(A393="","",SUMIF(Sales!$D$2:$D$501,A393,Sales!$G$2:$G$501))</f>
        <v/>
      </c>
      <c r="H393" s="12">
        <f>IF(A393="","",IF(COUNTIF($A$2:$A$501,A393)&gt;1,"Duplicate client ID",IF(B393="","Add client name","OK")))</f>
        <v/>
      </c>
    </row>
    <row r="394" ht="23" customHeight="1">
      <c r="A394" s="9" t="n"/>
      <c r="B394" s="10" t="n"/>
      <c r="C394" s="10" t="n"/>
      <c r="D394" s="9" t="n"/>
      <c r="E394" s="10" t="n"/>
      <c r="F394" s="12">
        <f>IF(A394="","",COUNTIF(Sales!$D$2:$D$501,A394))</f>
        <v/>
      </c>
      <c r="G394" s="13">
        <f>IF(A394="","",SUMIF(Sales!$D$2:$D$501,A394,Sales!$G$2:$G$501))</f>
        <v/>
      </c>
      <c r="H394" s="12">
        <f>IF(A394="","",IF(COUNTIF($A$2:$A$501,A394)&gt;1,"Duplicate client ID",IF(B394="","Add client name","OK")))</f>
        <v/>
      </c>
    </row>
    <row r="395" ht="23" customHeight="1">
      <c r="A395" s="14" t="n"/>
      <c r="B395" s="15" t="n"/>
      <c r="C395" s="15" t="n"/>
      <c r="D395" s="14" t="n"/>
      <c r="E395" s="15" t="n"/>
      <c r="F395" s="12">
        <f>IF(A395="","",COUNTIF(Sales!$D$2:$D$501,A395))</f>
        <v/>
      </c>
      <c r="G395" s="13">
        <f>IF(A395="","",SUMIF(Sales!$D$2:$D$501,A395,Sales!$G$2:$G$501))</f>
        <v/>
      </c>
      <c r="H395" s="12">
        <f>IF(A395="","",IF(COUNTIF($A$2:$A$501,A395)&gt;1,"Duplicate client ID",IF(B395="","Add client name","OK")))</f>
        <v/>
      </c>
    </row>
    <row r="396" ht="23" customHeight="1">
      <c r="A396" s="9" t="n"/>
      <c r="B396" s="10" t="n"/>
      <c r="C396" s="10" t="n"/>
      <c r="D396" s="9" t="n"/>
      <c r="E396" s="10" t="n"/>
      <c r="F396" s="12">
        <f>IF(A396="","",COUNTIF(Sales!$D$2:$D$501,A396))</f>
        <v/>
      </c>
      <c r="G396" s="13">
        <f>IF(A396="","",SUMIF(Sales!$D$2:$D$501,A396,Sales!$G$2:$G$501))</f>
        <v/>
      </c>
      <c r="H396" s="12">
        <f>IF(A396="","",IF(COUNTIF($A$2:$A$501,A396)&gt;1,"Duplicate client ID",IF(B396="","Add client name","OK")))</f>
        <v/>
      </c>
    </row>
    <row r="397" ht="23" customHeight="1">
      <c r="A397" s="14" t="n"/>
      <c r="B397" s="15" t="n"/>
      <c r="C397" s="15" t="n"/>
      <c r="D397" s="14" t="n"/>
      <c r="E397" s="15" t="n"/>
      <c r="F397" s="12">
        <f>IF(A397="","",COUNTIF(Sales!$D$2:$D$501,A397))</f>
        <v/>
      </c>
      <c r="G397" s="13">
        <f>IF(A397="","",SUMIF(Sales!$D$2:$D$501,A397,Sales!$G$2:$G$501))</f>
        <v/>
      </c>
      <c r="H397" s="12">
        <f>IF(A397="","",IF(COUNTIF($A$2:$A$501,A397)&gt;1,"Duplicate client ID",IF(B397="","Add client name","OK")))</f>
        <v/>
      </c>
    </row>
    <row r="398" ht="23" customHeight="1">
      <c r="A398" s="9" t="n"/>
      <c r="B398" s="10" t="n"/>
      <c r="C398" s="10" t="n"/>
      <c r="D398" s="9" t="n"/>
      <c r="E398" s="10" t="n"/>
      <c r="F398" s="12">
        <f>IF(A398="","",COUNTIF(Sales!$D$2:$D$501,A398))</f>
        <v/>
      </c>
      <c r="G398" s="13">
        <f>IF(A398="","",SUMIF(Sales!$D$2:$D$501,A398,Sales!$G$2:$G$501))</f>
        <v/>
      </c>
      <c r="H398" s="12">
        <f>IF(A398="","",IF(COUNTIF($A$2:$A$501,A398)&gt;1,"Duplicate client ID",IF(B398="","Add client name","OK")))</f>
        <v/>
      </c>
    </row>
    <row r="399" ht="23" customHeight="1">
      <c r="A399" s="14" t="n"/>
      <c r="B399" s="15" t="n"/>
      <c r="C399" s="15" t="n"/>
      <c r="D399" s="14" t="n"/>
      <c r="E399" s="15" t="n"/>
      <c r="F399" s="12">
        <f>IF(A399="","",COUNTIF(Sales!$D$2:$D$501,A399))</f>
        <v/>
      </c>
      <c r="G399" s="13">
        <f>IF(A399="","",SUMIF(Sales!$D$2:$D$501,A399,Sales!$G$2:$G$501))</f>
        <v/>
      </c>
      <c r="H399" s="12">
        <f>IF(A399="","",IF(COUNTIF($A$2:$A$501,A399)&gt;1,"Duplicate client ID",IF(B399="","Add client name","OK")))</f>
        <v/>
      </c>
    </row>
    <row r="400" ht="23" customHeight="1">
      <c r="A400" s="9" t="n"/>
      <c r="B400" s="10" t="n"/>
      <c r="C400" s="10" t="n"/>
      <c r="D400" s="9" t="n"/>
      <c r="E400" s="10" t="n"/>
      <c r="F400" s="12">
        <f>IF(A400="","",COUNTIF(Sales!$D$2:$D$501,A400))</f>
        <v/>
      </c>
      <c r="G400" s="13">
        <f>IF(A400="","",SUMIF(Sales!$D$2:$D$501,A400,Sales!$G$2:$G$501))</f>
        <v/>
      </c>
      <c r="H400" s="12">
        <f>IF(A400="","",IF(COUNTIF($A$2:$A$501,A400)&gt;1,"Duplicate client ID",IF(B400="","Add client name","OK")))</f>
        <v/>
      </c>
    </row>
    <row r="401" ht="23" customHeight="1">
      <c r="A401" s="14" t="n"/>
      <c r="B401" s="15" t="n"/>
      <c r="C401" s="15" t="n"/>
      <c r="D401" s="14" t="n"/>
      <c r="E401" s="15" t="n"/>
      <c r="F401" s="12">
        <f>IF(A401="","",COUNTIF(Sales!$D$2:$D$501,A401))</f>
        <v/>
      </c>
      <c r="G401" s="13">
        <f>IF(A401="","",SUMIF(Sales!$D$2:$D$501,A401,Sales!$G$2:$G$501))</f>
        <v/>
      </c>
      <c r="H401" s="12">
        <f>IF(A401="","",IF(COUNTIF($A$2:$A$501,A401)&gt;1,"Duplicate client ID",IF(B401="","Add client name","OK")))</f>
        <v/>
      </c>
    </row>
    <row r="402" ht="23" customHeight="1">
      <c r="A402" s="9" t="n"/>
      <c r="B402" s="10" t="n"/>
      <c r="C402" s="10" t="n"/>
      <c r="D402" s="9" t="n"/>
      <c r="E402" s="10" t="n"/>
      <c r="F402" s="12">
        <f>IF(A402="","",COUNTIF(Sales!$D$2:$D$501,A402))</f>
        <v/>
      </c>
      <c r="G402" s="13">
        <f>IF(A402="","",SUMIF(Sales!$D$2:$D$501,A402,Sales!$G$2:$G$501))</f>
        <v/>
      </c>
      <c r="H402" s="12">
        <f>IF(A402="","",IF(COUNTIF($A$2:$A$501,A402)&gt;1,"Duplicate client ID",IF(B402="","Add client name","OK")))</f>
        <v/>
      </c>
    </row>
    <row r="403" ht="23" customHeight="1">
      <c r="A403" s="14" t="n"/>
      <c r="B403" s="15" t="n"/>
      <c r="C403" s="15" t="n"/>
      <c r="D403" s="14" t="n"/>
      <c r="E403" s="15" t="n"/>
      <c r="F403" s="12">
        <f>IF(A403="","",COUNTIF(Sales!$D$2:$D$501,A403))</f>
        <v/>
      </c>
      <c r="G403" s="13">
        <f>IF(A403="","",SUMIF(Sales!$D$2:$D$501,A403,Sales!$G$2:$G$501))</f>
        <v/>
      </c>
      <c r="H403" s="12">
        <f>IF(A403="","",IF(COUNTIF($A$2:$A$501,A403)&gt;1,"Duplicate client ID",IF(B403="","Add client name","OK")))</f>
        <v/>
      </c>
    </row>
    <row r="404" ht="23" customHeight="1">
      <c r="A404" s="9" t="n"/>
      <c r="B404" s="10" t="n"/>
      <c r="C404" s="10" t="n"/>
      <c r="D404" s="9" t="n"/>
      <c r="E404" s="10" t="n"/>
      <c r="F404" s="12">
        <f>IF(A404="","",COUNTIF(Sales!$D$2:$D$501,A404))</f>
        <v/>
      </c>
      <c r="G404" s="13">
        <f>IF(A404="","",SUMIF(Sales!$D$2:$D$501,A404,Sales!$G$2:$G$501))</f>
        <v/>
      </c>
      <c r="H404" s="12">
        <f>IF(A404="","",IF(COUNTIF($A$2:$A$501,A404)&gt;1,"Duplicate client ID",IF(B404="","Add client name","OK")))</f>
        <v/>
      </c>
    </row>
    <row r="405" ht="23" customHeight="1">
      <c r="A405" s="14" t="n"/>
      <c r="B405" s="15" t="n"/>
      <c r="C405" s="15" t="n"/>
      <c r="D405" s="14" t="n"/>
      <c r="E405" s="15" t="n"/>
      <c r="F405" s="12">
        <f>IF(A405="","",COUNTIF(Sales!$D$2:$D$501,A405))</f>
        <v/>
      </c>
      <c r="G405" s="13">
        <f>IF(A405="","",SUMIF(Sales!$D$2:$D$501,A405,Sales!$G$2:$G$501))</f>
        <v/>
      </c>
      <c r="H405" s="12">
        <f>IF(A405="","",IF(COUNTIF($A$2:$A$501,A405)&gt;1,"Duplicate client ID",IF(B405="","Add client name","OK")))</f>
        <v/>
      </c>
    </row>
    <row r="406" ht="23" customHeight="1">
      <c r="A406" s="9" t="n"/>
      <c r="B406" s="10" t="n"/>
      <c r="C406" s="10" t="n"/>
      <c r="D406" s="9" t="n"/>
      <c r="E406" s="10" t="n"/>
      <c r="F406" s="12">
        <f>IF(A406="","",COUNTIF(Sales!$D$2:$D$501,A406))</f>
        <v/>
      </c>
      <c r="G406" s="13">
        <f>IF(A406="","",SUMIF(Sales!$D$2:$D$501,A406,Sales!$G$2:$G$501))</f>
        <v/>
      </c>
      <c r="H406" s="12">
        <f>IF(A406="","",IF(COUNTIF($A$2:$A$501,A406)&gt;1,"Duplicate client ID",IF(B406="","Add client name","OK")))</f>
        <v/>
      </c>
    </row>
    <row r="407" ht="23" customHeight="1">
      <c r="A407" s="14" t="n"/>
      <c r="B407" s="15" t="n"/>
      <c r="C407" s="15" t="n"/>
      <c r="D407" s="14" t="n"/>
      <c r="E407" s="15" t="n"/>
      <c r="F407" s="12">
        <f>IF(A407="","",COUNTIF(Sales!$D$2:$D$501,A407))</f>
        <v/>
      </c>
      <c r="G407" s="13">
        <f>IF(A407="","",SUMIF(Sales!$D$2:$D$501,A407,Sales!$G$2:$G$501))</f>
        <v/>
      </c>
      <c r="H407" s="12">
        <f>IF(A407="","",IF(COUNTIF($A$2:$A$501,A407)&gt;1,"Duplicate client ID",IF(B407="","Add client name","OK")))</f>
        <v/>
      </c>
    </row>
    <row r="408" ht="23" customHeight="1">
      <c r="A408" s="9" t="n"/>
      <c r="B408" s="10" t="n"/>
      <c r="C408" s="10" t="n"/>
      <c r="D408" s="9" t="n"/>
      <c r="E408" s="10" t="n"/>
      <c r="F408" s="12">
        <f>IF(A408="","",COUNTIF(Sales!$D$2:$D$501,A408))</f>
        <v/>
      </c>
      <c r="G408" s="13">
        <f>IF(A408="","",SUMIF(Sales!$D$2:$D$501,A408,Sales!$G$2:$G$501))</f>
        <v/>
      </c>
      <c r="H408" s="12">
        <f>IF(A408="","",IF(COUNTIF($A$2:$A$501,A408)&gt;1,"Duplicate client ID",IF(B408="","Add client name","OK")))</f>
        <v/>
      </c>
    </row>
    <row r="409" ht="23" customHeight="1">
      <c r="A409" s="14" t="n"/>
      <c r="B409" s="15" t="n"/>
      <c r="C409" s="15" t="n"/>
      <c r="D409" s="14" t="n"/>
      <c r="E409" s="15" t="n"/>
      <c r="F409" s="12">
        <f>IF(A409="","",COUNTIF(Sales!$D$2:$D$501,A409))</f>
        <v/>
      </c>
      <c r="G409" s="13">
        <f>IF(A409="","",SUMIF(Sales!$D$2:$D$501,A409,Sales!$G$2:$G$501))</f>
        <v/>
      </c>
      <c r="H409" s="12">
        <f>IF(A409="","",IF(COUNTIF($A$2:$A$501,A409)&gt;1,"Duplicate client ID",IF(B409="","Add client name","OK")))</f>
        <v/>
      </c>
    </row>
    <row r="410" ht="23" customHeight="1">
      <c r="A410" s="9" t="n"/>
      <c r="B410" s="10" t="n"/>
      <c r="C410" s="10" t="n"/>
      <c r="D410" s="9" t="n"/>
      <c r="E410" s="10" t="n"/>
      <c r="F410" s="12">
        <f>IF(A410="","",COUNTIF(Sales!$D$2:$D$501,A410))</f>
        <v/>
      </c>
      <c r="G410" s="13">
        <f>IF(A410="","",SUMIF(Sales!$D$2:$D$501,A410,Sales!$G$2:$G$501))</f>
        <v/>
      </c>
      <c r="H410" s="12">
        <f>IF(A410="","",IF(COUNTIF($A$2:$A$501,A410)&gt;1,"Duplicate client ID",IF(B410="","Add client name","OK")))</f>
        <v/>
      </c>
    </row>
    <row r="411" ht="23" customHeight="1">
      <c r="A411" s="14" t="n"/>
      <c r="B411" s="15" t="n"/>
      <c r="C411" s="15" t="n"/>
      <c r="D411" s="14" t="n"/>
      <c r="E411" s="15" t="n"/>
      <c r="F411" s="12">
        <f>IF(A411="","",COUNTIF(Sales!$D$2:$D$501,A411))</f>
        <v/>
      </c>
      <c r="G411" s="13">
        <f>IF(A411="","",SUMIF(Sales!$D$2:$D$501,A411,Sales!$G$2:$G$501))</f>
        <v/>
      </c>
      <c r="H411" s="12">
        <f>IF(A411="","",IF(COUNTIF($A$2:$A$501,A411)&gt;1,"Duplicate client ID",IF(B411="","Add client name","OK")))</f>
        <v/>
      </c>
    </row>
    <row r="412" ht="23" customHeight="1">
      <c r="A412" s="9" t="n"/>
      <c r="B412" s="10" t="n"/>
      <c r="C412" s="10" t="n"/>
      <c r="D412" s="9" t="n"/>
      <c r="E412" s="10" t="n"/>
      <c r="F412" s="12">
        <f>IF(A412="","",COUNTIF(Sales!$D$2:$D$501,A412))</f>
        <v/>
      </c>
      <c r="G412" s="13">
        <f>IF(A412="","",SUMIF(Sales!$D$2:$D$501,A412,Sales!$G$2:$G$501))</f>
        <v/>
      </c>
      <c r="H412" s="12">
        <f>IF(A412="","",IF(COUNTIF($A$2:$A$501,A412)&gt;1,"Duplicate client ID",IF(B412="","Add client name","OK")))</f>
        <v/>
      </c>
    </row>
    <row r="413" ht="23" customHeight="1">
      <c r="A413" s="14" t="n"/>
      <c r="B413" s="15" t="n"/>
      <c r="C413" s="15" t="n"/>
      <c r="D413" s="14" t="n"/>
      <c r="E413" s="15" t="n"/>
      <c r="F413" s="12">
        <f>IF(A413="","",COUNTIF(Sales!$D$2:$D$501,A413))</f>
        <v/>
      </c>
      <c r="G413" s="13">
        <f>IF(A413="","",SUMIF(Sales!$D$2:$D$501,A413,Sales!$G$2:$G$501))</f>
        <v/>
      </c>
      <c r="H413" s="12">
        <f>IF(A413="","",IF(COUNTIF($A$2:$A$501,A413)&gt;1,"Duplicate client ID",IF(B413="","Add client name","OK")))</f>
        <v/>
      </c>
    </row>
    <row r="414" ht="23" customHeight="1">
      <c r="A414" s="9" t="n"/>
      <c r="B414" s="10" t="n"/>
      <c r="C414" s="10" t="n"/>
      <c r="D414" s="9" t="n"/>
      <c r="E414" s="10" t="n"/>
      <c r="F414" s="12">
        <f>IF(A414="","",COUNTIF(Sales!$D$2:$D$501,A414))</f>
        <v/>
      </c>
      <c r="G414" s="13">
        <f>IF(A414="","",SUMIF(Sales!$D$2:$D$501,A414,Sales!$G$2:$G$501))</f>
        <v/>
      </c>
      <c r="H414" s="12">
        <f>IF(A414="","",IF(COUNTIF($A$2:$A$501,A414)&gt;1,"Duplicate client ID",IF(B414="","Add client name","OK")))</f>
        <v/>
      </c>
    </row>
    <row r="415" ht="23" customHeight="1">
      <c r="A415" s="14" t="n"/>
      <c r="B415" s="15" t="n"/>
      <c r="C415" s="15" t="n"/>
      <c r="D415" s="14" t="n"/>
      <c r="E415" s="15" t="n"/>
      <c r="F415" s="12">
        <f>IF(A415="","",COUNTIF(Sales!$D$2:$D$501,A415))</f>
        <v/>
      </c>
      <c r="G415" s="13">
        <f>IF(A415="","",SUMIF(Sales!$D$2:$D$501,A415,Sales!$G$2:$G$501))</f>
        <v/>
      </c>
      <c r="H415" s="12">
        <f>IF(A415="","",IF(COUNTIF($A$2:$A$501,A415)&gt;1,"Duplicate client ID",IF(B415="","Add client name","OK")))</f>
        <v/>
      </c>
    </row>
    <row r="416" ht="23" customHeight="1">
      <c r="A416" s="9" t="n"/>
      <c r="B416" s="10" t="n"/>
      <c r="C416" s="10" t="n"/>
      <c r="D416" s="9" t="n"/>
      <c r="E416" s="10" t="n"/>
      <c r="F416" s="12">
        <f>IF(A416="","",COUNTIF(Sales!$D$2:$D$501,A416))</f>
        <v/>
      </c>
      <c r="G416" s="13">
        <f>IF(A416="","",SUMIF(Sales!$D$2:$D$501,A416,Sales!$G$2:$G$501))</f>
        <v/>
      </c>
      <c r="H416" s="12">
        <f>IF(A416="","",IF(COUNTIF($A$2:$A$501,A416)&gt;1,"Duplicate client ID",IF(B416="","Add client name","OK")))</f>
        <v/>
      </c>
    </row>
    <row r="417" ht="23" customHeight="1">
      <c r="A417" s="14" t="n"/>
      <c r="B417" s="15" t="n"/>
      <c r="C417" s="15" t="n"/>
      <c r="D417" s="14" t="n"/>
      <c r="E417" s="15" t="n"/>
      <c r="F417" s="12">
        <f>IF(A417="","",COUNTIF(Sales!$D$2:$D$501,A417))</f>
        <v/>
      </c>
      <c r="G417" s="13">
        <f>IF(A417="","",SUMIF(Sales!$D$2:$D$501,A417,Sales!$G$2:$G$501))</f>
        <v/>
      </c>
      <c r="H417" s="12">
        <f>IF(A417="","",IF(COUNTIF($A$2:$A$501,A417)&gt;1,"Duplicate client ID",IF(B417="","Add client name","OK")))</f>
        <v/>
      </c>
    </row>
    <row r="418" ht="23" customHeight="1">
      <c r="A418" s="9" t="n"/>
      <c r="B418" s="10" t="n"/>
      <c r="C418" s="10" t="n"/>
      <c r="D418" s="9" t="n"/>
      <c r="E418" s="10" t="n"/>
      <c r="F418" s="12">
        <f>IF(A418="","",COUNTIF(Sales!$D$2:$D$501,A418))</f>
        <v/>
      </c>
      <c r="G418" s="13">
        <f>IF(A418="","",SUMIF(Sales!$D$2:$D$501,A418,Sales!$G$2:$G$501))</f>
        <v/>
      </c>
      <c r="H418" s="12">
        <f>IF(A418="","",IF(COUNTIF($A$2:$A$501,A418)&gt;1,"Duplicate client ID",IF(B418="","Add client name","OK")))</f>
        <v/>
      </c>
    </row>
    <row r="419" ht="23" customHeight="1">
      <c r="A419" s="14" t="n"/>
      <c r="B419" s="15" t="n"/>
      <c r="C419" s="15" t="n"/>
      <c r="D419" s="14" t="n"/>
      <c r="E419" s="15" t="n"/>
      <c r="F419" s="12">
        <f>IF(A419="","",COUNTIF(Sales!$D$2:$D$501,A419))</f>
        <v/>
      </c>
      <c r="G419" s="13">
        <f>IF(A419="","",SUMIF(Sales!$D$2:$D$501,A419,Sales!$G$2:$G$501))</f>
        <v/>
      </c>
      <c r="H419" s="12">
        <f>IF(A419="","",IF(COUNTIF($A$2:$A$501,A419)&gt;1,"Duplicate client ID",IF(B419="","Add client name","OK")))</f>
        <v/>
      </c>
    </row>
    <row r="420" ht="23" customHeight="1">
      <c r="A420" s="9" t="n"/>
      <c r="B420" s="10" t="n"/>
      <c r="C420" s="10" t="n"/>
      <c r="D420" s="9" t="n"/>
      <c r="E420" s="10" t="n"/>
      <c r="F420" s="12">
        <f>IF(A420="","",COUNTIF(Sales!$D$2:$D$501,A420))</f>
        <v/>
      </c>
      <c r="G420" s="13">
        <f>IF(A420="","",SUMIF(Sales!$D$2:$D$501,A420,Sales!$G$2:$G$501))</f>
        <v/>
      </c>
      <c r="H420" s="12">
        <f>IF(A420="","",IF(COUNTIF($A$2:$A$501,A420)&gt;1,"Duplicate client ID",IF(B420="","Add client name","OK")))</f>
        <v/>
      </c>
    </row>
    <row r="421" ht="23" customHeight="1">
      <c r="A421" s="14" t="n"/>
      <c r="B421" s="15" t="n"/>
      <c r="C421" s="15" t="n"/>
      <c r="D421" s="14" t="n"/>
      <c r="E421" s="15" t="n"/>
      <c r="F421" s="12">
        <f>IF(A421="","",COUNTIF(Sales!$D$2:$D$501,A421))</f>
        <v/>
      </c>
      <c r="G421" s="13">
        <f>IF(A421="","",SUMIF(Sales!$D$2:$D$501,A421,Sales!$G$2:$G$501))</f>
        <v/>
      </c>
      <c r="H421" s="12">
        <f>IF(A421="","",IF(COUNTIF($A$2:$A$501,A421)&gt;1,"Duplicate client ID",IF(B421="","Add client name","OK")))</f>
        <v/>
      </c>
    </row>
    <row r="422" ht="23" customHeight="1">
      <c r="A422" s="9" t="n"/>
      <c r="B422" s="10" t="n"/>
      <c r="C422" s="10" t="n"/>
      <c r="D422" s="9" t="n"/>
      <c r="E422" s="10" t="n"/>
      <c r="F422" s="12">
        <f>IF(A422="","",COUNTIF(Sales!$D$2:$D$501,A422))</f>
        <v/>
      </c>
      <c r="G422" s="13">
        <f>IF(A422="","",SUMIF(Sales!$D$2:$D$501,A422,Sales!$G$2:$G$501))</f>
        <v/>
      </c>
      <c r="H422" s="12">
        <f>IF(A422="","",IF(COUNTIF($A$2:$A$501,A422)&gt;1,"Duplicate client ID",IF(B422="","Add client name","OK")))</f>
        <v/>
      </c>
    </row>
    <row r="423" ht="23" customHeight="1">
      <c r="A423" s="14" t="n"/>
      <c r="B423" s="15" t="n"/>
      <c r="C423" s="15" t="n"/>
      <c r="D423" s="14" t="n"/>
      <c r="E423" s="15" t="n"/>
      <c r="F423" s="12">
        <f>IF(A423="","",COUNTIF(Sales!$D$2:$D$501,A423))</f>
        <v/>
      </c>
      <c r="G423" s="13">
        <f>IF(A423="","",SUMIF(Sales!$D$2:$D$501,A423,Sales!$G$2:$G$501))</f>
        <v/>
      </c>
      <c r="H423" s="12">
        <f>IF(A423="","",IF(COUNTIF($A$2:$A$501,A423)&gt;1,"Duplicate client ID",IF(B423="","Add client name","OK")))</f>
        <v/>
      </c>
    </row>
    <row r="424" ht="23" customHeight="1">
      <c r="A424" s="9" t="n"/>
      <c r="B424" s="10" t="n"/>
      <c r="C424" s="10" t="n"/>
      <c r="D424" s="9" t="n"/>
      <c r="E424" s="10" t="n"/>
      <c r="F424" s="12">
        <f>IF(A424="","",COUNTIF(Sales!$D$2:$D$501,A424))</f>
        <v/>
      </c>
      <c r="G424" s="13">
        <f>IF(A424="","",SUMIF(Sales!$D$2:$D$501,A424,Sales!$G$2:$G$501))</f>
        <v/>
      </c>
      <c r="H424" s="12">
        <f>IF(A424="","",IF(COUNTIF($A$2:$A$501,A424)&gt;1,"Duplicate client ID",IF(B424="","Add client name","OK")))</f>
        <v/>
      </c>
    </row>
    <row r="425" ht="23" customHeight="1">
      <c r="A425" s="14" t="n"/>
      <c r="B425" s="15" t="n"/>
      <c r="C425" s="15" t="n"/>
      <c r="D425" s="14" t="n"/>
      <c r="E425" s="15" t="n"/>
      <c r="F425" s="12">
        <f>IF(A425="","",COUNTIF(Sales!$D$2:$D$501,A425))</f>
        <v/>
      </c>
      <c r="G425" s="13">
        <f>IF(A425="","",SUMIF(Sales!$D$2:$D$501,A425,Sales!$G$2:$G$501))</f>
        <v/>
      </c>
      <c r="H425" s="12">
        <f>IF(A425="","",IF(COUNTIF($A$2:$A$501,A425)&gt;1,"Duplicate client ID",IF(B425="","Add client name","OK")))</f>
        <v/>
      </c>
    </row>
    <row r="426" ht="23" customHeight="1">
      <c r="A426" s="9" t="n"/>
      <c r="B426" s="10" t="n"/>
      <c r="C426" s="10" t="n"/>
      <c r="D426" s="9" t="n"/>
      <c r="E426" s="10" t="n"/>
      <c r="F426" s="12">
        <f>IF(A426="","",COUNTIF(Sales!$D$2:$D$501,A426))</f>
        <v/>
      </c>
      <c r="G426" s="13">
        <f>IF(A426="","",SUMIF(Sales!$D$2:$D$501,A426,Sales!$G$2:$G$501))</f>
        <v/>
      </c>
      <c r="H426" s="12">
        <f>IF(A426="","",IF(COUNTIF($A$2:$A$501,A426)&gt;1,"Duplicate client ID",IF(B426="","Add client name","OK")))</f>
        <v/>
      </c>
    </row>
    <row r="427" ht="23" customHeight="1">
      <c r="A427" s="14" t="n"/>
      <c r="B427" s="15" t="n"/>
      <c r="C427" s="15" t="n"/>
      <c r="D427" s="14" t="n"/>
      <c r="E427" s="15" t="n"/>
      <c r="F427" s="12">
        <f>IF(A427="","",COUNTIF(Sales!$D$2:$D$501,A427))</f>
        <v/>
      </c>
      <c r="G427" s="13">
        <f>IF(A427="","",SUMIF(Sales!$D$2:$D$501,A427,Sales!$G$2:$G$501))</f>
        <v/>
      </c>
      <c r="H427" s="12">
        <f>IF(A427="","",IF(COUNTIF($A$2:$A$501,A427)&gt;1,"Duplicate client ID",IF(B427="","Add client name","OK")))</f>
        <v/>
      </c>
    </row>
    <row r="428" ht="23" customHeight="1">
      <c r="A428" s="9" t="n"/>
      <c r="B428" s="10" t="n"/>
      <c r="C428" s="10" t="n"/>
      <c r="D428" s="9" t="n"/>
      <c r="E428" s="10" t="n"/>
      <c r="F428" s="12">
        <f>IF(A428="","",COUNTIF(Sales!$D$2:$D$501,A428))</f>
        <v/>
      </c>
      <c r="G428" s="13">
        <f>IF(A428="","",SUMIF(Sales!$D$2:$D$501,A428,Sales!$G$2:$G$501))</f>
        <v/>
      </c>
      <c r="H428" s="12">
        <f>IF(A428="","",IF(COUNTIF($A$2:$A$501,A428)&gt;1,"Duplicate client ID",IF(B428="","Add client name","OK")))</f>
        <v/>
      </c>
    </row>
    <row r="429" ht="23" customHeight="1">
      <c r="A429" s="14" t="n"/>
      <c r="B429" s="15" t="n"/>
      <c r="C429" s="15" t="n"/>
      <c r="D429" s="14" t="n"/>
      <c r="E429" s="15" t="n"/>
      <c r="F429" s="12">
        <f>IF(A429="","",COUNTIF(Sales!$D$2:$D$501,A429))</f>
        <v/>
      </c>
      <c r="G429" s="13">
        <f>IF(A429="","",SUMIF(Sales!$D$2:$D$501,A429,Sales!$G$2:$G$501))</f>
        <v/>
      </c>
      <c r="H429" s="12">
        <f>IF(A429="","",IF(COUNTIF($A$2:$A$501,A429)&gt;1,"Duplicate client ID",IF(B429="","Add client name","OK")))</f>
        <v/>
      </c>
    </row>
    <row r="430" ht="23" customHeight="1">
      <c r="A430" s="9" t="n"/>
      <c r="B430" s="10" t="n"/>
      <c r="C430" s="10" t="n"/>
      <c r="D430" s="9" t="n"/>
      <c r="E430" s="10" t="n"/>
      <c r="F430" s="12">
        <f>IF(A430="","",COUNTIF(Sales!$D$2:$D$501,A430))</f>
        <v/>
      </c>
      <c r="G430" s="13">
        <f>IF(A430="","",SUMIF(Sales!$D$2:$D$501,A430,Sales!$G$2:$G$501))</f>
        <v/>
      </c>
      <c r="H430" s="12">
        <f>IF(A430="","",IF(COUNTIF($A$2:$A$501,A430)&gt;1,"Duplicate client ID",IF(B430="","Add client name","OK")))</f>
        <v/>
      </c>
    </row>
    <row r="431" ht="23" customHeight="1">
      <c r="A431" s="14" t="n"/>
      <c r="B431" s="15" t="n"/>
      <c r="C431" s="15" t="n"/>
      <c r="D431" s="14" t="n"/>
      <c r="E431" s="15" t="n"/>
      <c r="F431" s="12">
        <f>IF(A431="","",COUNTIF(Sales!$D$2:$D$501,A431))</f>
        <v/>
      </c>
      <c r="G431" s="13">
        <f>IF(A431="","",SUMIF(Sales!$D$2:$D$501,A431,Sales!$G$2:$G$501))</f>
        <v/>
      </c>
      <c r="H431" s="12">
        <f>IF(A431="","",IF(COUNTIF($A$2:$A$501,A431)&gt;1,"Duplicate client ID",IF(B431="","Add client name","OK")))</f>
        <v/>
      </c>
    </row>
    <row r="432" ht="23" customHeight="1">
      <c r="A432" s="9" t="n"/>
      <c r="B432" s="10" t="n"/>
      <c r="C432" s="10" t="n"/>
      <c r="D432" s="9" t="n"/>
      <c r="E432" s="10" t="n"/>
      <c r="F432" s="12">
        <f>IF(A432="","",COUNTIF(Sales!$D$2:$D$501,A432))</f>
        <v/>
      </c>
      <c r="G432" s="13">
        <f>IF(A432="","",SUMIF(Sales!$D$2:$D$501,A432,Sales!$G$2:$G$501))</f>
        <v/>
      </c>
      <c r="H432" s="12">
        <f>IF(A432="","",IF(COUNTIF($A$2:$A$501,A432)&gt;1,"Duplicate client ID",IF(B432="","Add client name","OK")))</f>
        <v/>
      </c>
    </row>
    <row r="433" ht="23" customHeight="1">
      <c r="A433" s="14" t="n"/>
      <c r="B433" s="15" t="n"/>
      <c r="C433" s="15" t="n"/>
      <c r="D433" s="14" t="n"/>
      <c r="E433" s="15" t="n"/>
      <c r="F433" s="12">
        <f>IF(A433="","",COUNTIF(Sales!$D$2:$D$501,A433))</f>
        <v/>
      </c>
      <c r="G433" s="13">
        <f>IF(A433="","",SUMIF(Sales!$D$2:$D$501,A433,Sales!$G$2:$G$501))</f>
        <v/>
      </c>
      <c r="H433" s="12">
        <f>IF(A433="","",IF(COUNTIF($A$2:$A$501,A433)&gt;1,"Duplicate client ID",IF(B433="","Add client name","OK")))</f>
        <v/>
      </c>
    </row>
    <row r="434" ht="23" customHeight="1">
      <c r="A434" s="9" t="n"/>
      <c r="B434" s="10" t="n"/>
      <c r="C434" s="10" t="n"/>
      <c r="D434" s="9" t="n"/>
      <c r="E434" s="10" t="n"/>
      <c r="F434" s="12">
        <f>IF(A434="","",COUNTIF(Sales!$D$2:$D$501,A434))</f>
        <v/>
      </c>
      <c r="G434" s="13">
        <f>IF(A434="","",SUMIF(Sales!$D$2:$D$501,A434,Sales!$G$2:$G$501))</f>
        <v/>
      </c>
      <c r="H434" s="12">
        <f>IF(A434="","",IF(COUNTIF($A$2:$A$501,A434)&gt;1,"Duplicate client ID",IF(B434="","Add client name","OK")))</f>
        <v/>
      </c>
    </row>
    <row r="435" ht="23" customHeight="1">
      <c r="A435" s="14" t="n"/>
      <c r="B435" s="15" t="n"/>
      <c r="C435" s="15" t="n"/>
      <c r="D435" s="14" t="n"/>
      <c r="E435" s="15" t="n"/>
      <c r="F435" s="12">
        <f>IF(A435="","",COUNTIF(Sales!$D$2:$D$501,A435))</f>
        <v/>
      </c>
      <c r="G435" s="13">
        <f>IF(A435="","",SUMIF(Sales!$D$2:$D$501,A435,Sales!$G$2:$G$501))</f>
        <v/>
      </c>
      <c r="H435" s="12">
        <f>IF(A435="","",IF(COUNTIF($A$2:$A$501,A435)&gt;1,"Duplicate client ID",IF(B435="","Add client name","OK")))</f>
        <v/>
      </c>
    </row>
    <row r="436" ht="23" customHeight="1">
      <c r="A436" s="9" t="n"/>
      <c r="B436" s="10" t="n"/>
      <c r="C436" s="10" t="n"/>
      <c r="D436" s="9" t="n"/>
      <c r="E436" s="10" t="n"/>
      <c r="F436" s="12">
        <f>IF(A436="","",COUNTIF(Sales!$D$2:$D$501,A436))</f>
        <v/>
      </c>
      <c r="G436" s="13">
        <f>IF(A436="","",SUMIF(Sales!$D$2:$D$501,A436,Sales!$G$2:$G$501))</f>
        <v/>
      </c>
      <c r="H436" s="12">
        <f>IF(A436="","",IF(COUNTIF($A$2:$A$501,A436)&gt;1,"Duplicate client ID",IF(B436="","Add client name","OK")))</f>
        <v/>
      </c>
    </row>
    <row r="437" ht="23" customHeight="1">
      <c r="A437" s="14" t="n"/>
      <c r="B437" s="15" t="n"/>
      <c r="C437" s="15" t="n"/>
      <c r="D437" s="14" t="n"/>
      <c r="E437" s="15" t="n"/>
      <c r="F437" s="12">
        <f>IF(A437="","",COUNTIF(Sales!$D$2:$D$501,A437))</f>
        <v/>
      </c>
      <c r="G437" s="13">
        <f>IF(A437="","",SUMIF(Sales!$D$2:$D$501,A437,Sales!$G$2:$G$501))</f>
        <v/>
      </c>
      <c r="H437" s="12">
        <f>IF(A437="","",IF(COUNTIF($A$2:$A$501,A437)&gt;1,"Duplicate client ID",IF(B437="","Add client name","OK")))</f>
        <v/>
      </c>
    </row>
    <row r="438" ht="23" customHeight="1">
      <c r="A438" s="9" t="n"/>
      <c r="B438" s="10" t="n"/>
      <c r="C438" s="10" t="n"/>
      <c r="D438" s="9" t="n"/>
      <c r="E438" s="10" t="n"/>
      <c r="F438" s="12">
        <f>IF(A438="","",COUNTIF(Sales!$D$2:$D$501,A438))</f>
        <v/>
      </c>
      <c r="G438" s="13">
        <f>IF(A438="","",SUMIF(Sales!$D$2:$D$501,A438,Sales!$G$2:$G$501))</f>
        <v/>
      </c>
      <c r="H438" s="12">
        <f>IF(A438="","",IF(COUNTIF($A$2:$A$501,A438)&gt;1,"Duplicate client ID",IF(B438="","Add client name","OK")))</f>
        <v/>
      </c>
    </row>
    <row r="439" ht="23" customHeight="1">
      <c r="A439" s="14" t="n"/>
      <c r="B439" s="15" t="n"/>
      <c r="C439" s="15" t="n"/>
      <c r="D439" s="14" t="n"/>
      <c r="E439" s="15" t="n"/>
      <c r="F439" s="12">
        <f>IF(A439="","",COUNTIF(Sales!$D$2:$D$501,A439))</f>
        <v/>
      </c>
      <c r="G439" s="13">
        <f>IF(A439="","",SUMIF(Sales!$D$2:$D$501,A439,Sales!$G$2:$G$501))</f>
        <v/>
      </c>
      <c r="H439" s="12">
        <f>IF(A439="","",IF(COUNTIF($A$2:$A$501,A439)&gt;1,"Duplicate client ID",IF(B439="","Add client name","OK")))</f>
        <v/>
      </c>
    </row>
    <row r="440" ht="23" customHeight="1">
      <c r="A440" s="9" t="n"/>
      <c r="B440" s="10" t="n"/>
      <c r="C440" s="10" t="n"/>
      <c r="D440" s="9" t="n"/>
      <c r="E440" s="10" t="n"/>
      <c r="F440" s="12">
        <f>IF(A440="","",COUNTIF(Sales!$D$2:$D$501,A440))</f>
        <v/>
      </c>
      <c r="G440" s="13">
        <f>IF(A440="","",SUMIF(Sales!$D$2:$D$501,A440,Sales!$G$2:$G$501))</f>
        <v/>
      </c>
      <c r="H440" s="12">
        <f>IF(A440="","",IF(COUNTIF($A$2:$A$501,A440)&gt;1,"Duplicate client ID",IF(B440="","Add client name","OK")))</f>
        <v/>
      </c>
    </row>
    <row r="441" ht="23" customHeight="1">
      <c r="A441" s="14" t="n"/>
      <c r="B441" s="15" t="n"/>
      <c r="C441" s="15" t="n"/>
      <c r="D441" s="14" t="n"/>
      <c r="E441" s="15" t="n"/>
      <c r="F441" s="12">
        <f>IF(A441="","",COUNTIF(Sales!$D$2:$D$501,A441))</f>
        <v/>
      </c>
      <c r="G441" s="13">
        <f>IF(A441="","",SUMIF(Sales!$D$2:$D$501,A441,Sales!$G$2:$G$501))</f>
        <v/>
      </c>
      <c r="H441" s="12">
        <f>IF(A441="","",IF(COUNTIF($A$2:$A$501,A441)&gt;1,"Duplicate client ID",IF(B441="","Add client name","OK")))</f>
        <v/>
      </c>
    </row>
    <row r="442" ht="23" customHeight="1">
      <c r="A442" s="9" t="n"/>
      <c r="B442" s="10" t="n"/>
      <c r="C442" s="10" t="n"/>
      <c r="D442" s="9" t="n"/>
      <c r="E442" s="10" t="n"/>
      <c r="F442" s="12">
        <f>IF(A442="","",COUNTIF(Sales!$D$2:$D$501,A442))</f>
        <v/>
      </c>
      <c r="G442" s="13">
        <f>IF(A442="","",SUMIF(Sales!$D$2:$D$501,A442,Sales!$G$2:$G$501))</f>
        <v/>
      </c>
      <c r="H442" s="12">
        <f>IF(A442="","",IF(COUNTIF($A$2:$A$501,A442)&gt;1,"Duplicate client ID",IF(B442="","Add client name","OK")))</f>
        <v/>
      </c>
    </row>
    <row r="443" ht="23" customHeight="1">
      <c r="A443" s="14" t="n"/>
      <c r="B443" s="15" t="n"/>
      <c r="C443" s="15" t="n"/>
      <c r="D443" s="14" t="n"/>
      <c r="E443" s="15" t="n"/>
      <c r="F443" s="12">
        <f>IF(A443="","",COUNTIF(Sales!$D$2:$D$501,A443))</f>
        <v/>
      </c>
      <c r="G443" s="13">
        <f>IF(A443="","",SUMIF(Sales!$D$2:$D$501,A443,Sales!$G$2:$G$501))</f>
        <v/>
      </c>
      <c r="H443" s="12">
        <f>IF(A443="","",IF(COUNTIF($A$2:$A$501,A443)&gt;1,"Duplicate client ID",IF(B443="","Add client name","OK")))</f>
        <v/>
      </c>
    </row>
    <row r="444" ht="23" customHeight="1">
      <c r="A444" s="9" t="n"/>
      <c r="B444" s="10" t="n"/>
      <c r="C444" s="10" t="n"/>
      <c r="D444" s="9" t="n"/>
      <c r="E444" s="10" t="n"/>
      <c r="F444" s="12">
        <f>IF(A444="","",COUNTIF(Sales!$D$2:$D$501,A444))</f>
        <v/>
      </c>
      <c r="G444" s="13">
        <f>IF(A444="","",SUMIF(Sales!$D$2:$D$501,A444,Sales!$G$2:$G$501))</f>
        <v/>
      </c>
      <c r="H444" s="12">
        <f>IF(A444="","",IF(COUNTIF($A$2:$A$501,A444)&gt;1,"Duplicate client ID",IF(B444="","Add client name","OK")))</f>
        <v/>
      </c>
    </row>
    <row r="445" ht="23" customHeight="1">
      <c r="A445" s="14" t="n"/>
      <c r="B445" s="15" t="n"/>
      <c r="C445" s="15" t="n"/>
      <c r="D445" s="14" t="n"/>
      <c r="E445" s="15" t="n"/>
      <c r="F445" s="12">
        <f>IF(A445="","",COUNTIF(Sales!$D$2:$D$501,A445))</f>
        <v/>
      </c>
      <c r="G445" s="13">
        <f>IF(A445="","",SUMIF(Sales!$D$2:$D$501,A445,Sales!$G$2:$G$501))</f>
        <v/>
      </c>
      <c r="H445" s="12">
        <f>IF(A445="","",IF(COUNTIF($A$2:$A$501,A445)&gt;1,"Duplicate client ID",IF(B445="","Add client name","OK")))</f>
        <v/>
      </c>
    </row>
    <row r="446" ht="23" customHeight="1">
      <c r="A446" s="9" t="n"/>
      <c r="B446" s="10" t="n"/>
      <c r="C446" s="10" t="n"/>
      <c r="D446" s="9" t="n"/>
      <c r="E446" s="10" t="n"/>
      <c r="F446" s="12">
        <f>IF(A446="","",COUNTIF(Sales!$D$2:$D$501,A446))</f>
        <v/>
      </c>
      <c r="G446" s="13">
        <f>IF(A446="","",SUMIF(Sales!$D$2:$D$501,A446,Sales!$G$2:$G$501))</f>
        <v/>
      </c>
      <c r="H446" s="12">
        <f>IF(A446="","",IF(COUNTIF($A$2:$A$501,A446)&gt;1,"Duplicate client ID",IF(B446="","Add client name","OK")))</f>
        <v/>
      </c>
    </row>
    <row r="447" ht="23" customHeight="1">
      <c r="A447" s="14" t="n"/>
      <c r="B447" s="15" t="n"/>
      <c r="C447" s="15" t="n"/>
      <c r="D447" s="14" t="n"/>
      <c r="E447" s="15" t="n"/>
      <c r="F447" s="12">
        <f>IF(A447="","",COUNTIF(Sales!$D$2:$D$501,A447))</f>
        <v/>
      </c>
      <c r="G447" s="13">
        <f>IF(A447="","",SUMIF(Sales!$D$2:$D$501,A447,Sales!$G$2:$G$501))</f>
        <v/>
      </c>
      <c r="H447" s="12">
        <f>IF(A447="","",IF(COUNTIF($A$2:$A$501,A447)&gt;1,"Duplicate client ID",IF(B447="","Add client name","OK")))</f>
        <v/>
      </c>
    </row>
    <row r="448" ht="23" customHeight="1">
      <c r="A448" s="9" t="n"/>
      <c r="B448" s="10" t="n"/>
      <c r="C448" s="10" t="n"/>
      <c r="D448" s="9" t="n"/>
      <c r="E448" s="10" t="n"/>
      <c r="F448" s="12">
        <f>IF(A448="","",COUNTIF(Sales!$D$2:$D$501,A448))</f>
        <v/>
      </c>
      <c r="G448" s="13">
        <f>IF(A448="","",SUMIF(Sales!$D$2:$D$501,A448,Sales!$G$2:$G$501))</f>
        <v/>
      </c>
      <c r="H448" s="12">
        <f>IF(A448="","",IF(COUNTIF($A$2:$A$501,A448)&gt;1,"Duplicate client ID",IF(B448="","Add client name","OK")))</f>
        <v/>
      </c>
    </row>
    <row r="449" ht="23" customHeight="1">
      <c r="A449" s="14" t="n"/>
      <c r="B449" s="15" t="n"/>
      <c r="C449" s="15" t="n"/>
      <c r="D449" s="14" t="n"/>
      <c r="E449" s="15" t="n"/>
      <c r="F449" s="12">
        <f>IF(A449="","",COUNTIF(Sales!$D$2:$D$501,A449))</f>
        <v/>
      </c>
      <c r="G449" s="13">
        <f>IF(A449="","",SUMIF(Sales!$D$2:$D$501,A449,Sales!$G$2:$G$501))</f>
        <v/>
      </c>
      <c r="H449" s="12">
        <f>IF(A449="","",IF(COUNTIF($A$2:$A$501,A449)&gt;1,"Duplicate client ID",IF(B449="","Add client name","OK")))</f>
        <v/>
      </c>
    </row>
    <row r="450" ht="23" customHeight="1">
      <c r="A450" s="9" t="n"/>
      <c r="B450" s="10" t="n"/>
      <c r="C450" s="10" t="n"/>
      <c r="D450" s="9" t="n"/>
      <c r="E450" s="10" t="n"/>
      <c r="F450" s="12">
        <f>IF(A450="","",COUNTIF(Sales!$D$2:$D$501,A450))</f>
        <v/>
      </c>
      <c r="G450" s="13">
        <f>IF(A450="","",SUMIF(Sales!$D$2:$D$501,A450,Sales!$G$2:$G$501))</f>
        <v/>
      </c>
      <c r="H450" s="12">
        <f>IF(A450="","",IF(COUNTIF($A$2:$A$501,A450)&gt;1,"Duplicate client ID",IF(B450="","Add client name","OK")))</f>
        <v/>
      </c>
    </row>
    <row r="451" ht="23" customHeight="1">
      <c r="A451" s="14" t="n"/>
      <c r="B451" s="15" t="n"/>
      <c r="C451" s="15" t="n"/>
      <c r="D451" s="14" t="n"/>
      <c r="E451" s="15" t="n"/>
      <c r="F451" s="12">
        <f>IF(A451="","",COUNTIF(Sales!$D$2:$D$501,A451))</f>
        <v/>
      </c>
      <c r="G451" s="13">
        <f>IF(A451="","",SUMIF(Sales!$D$2:$D$501,A451,Sales!$G$2:$G$501))</f>
        <v/>
      </c>
      <c r="H451" s="12">
        <f>IF(A451="","",IF(COUNTIF($A$2:$A$501,A451)&gt;1,"Duplicate client ID",IF(B451="","Add client name","OK")))</f>
        <v/>
      </c>
    </row>
    <row r="452" ht="23" customHeight="1">
      <c r="A452" s="9" t="n"/>
      <c r="B452" s="10" t="n"/>
      <c r="C452" s="10" t="n"/>
      <c r="D452" s="9" t="n"/>
      <c r="E452" s="10" t="n"/>
      <c r="F452" s="12">
        <f>IF(A452="","",COUNTIF(Sales!$D$2:$D$501,A452))</f>
        <v/>
      </c>
      <c r="G452" s="13">
        <f>IF(A452="","",SUMIF(Sales!$D$2:$D$501,A452,Sales!$G$2:$G$501))</f>
        <v/>
      </c>
      <c r="H452" s="12">
        <f>IF(A452="","",IF(COUNTIF($A$2:$A$501,A452)&gt;1,"Duplicate client ID",IF(B452="","Add client name","OK")))</f>
        <v/>
      </c>
    </row>
    <row r="453" ht="23" customHeight="1">
      <c r="A453" s="14" t="n"/>
      <c r="B453" s="15" t="n"/>
      <c r="C453" s="15" t="n"/>
      <c r="D453" s="14" t="n"/>
      <c r="E453" s="15" t="n"/>
      <c r="F453" s="12">
        <f>IF(A453="","",COUNTIF(Sales!$D$2:$D$501,A453))</f>
        <v/>
      </c>
      <c r="G453" s="13">
        <f>IF(A453="","",SUMIF(Sales!$D$2:$D$501,A453,Sales!$G$2:$G$501))</f>
        <v/>
      </c>
      <c r="H453" s="12">
        <f>IF(A453="","",IF(COUNTIF($A$2:$A$501,A453)&gt;1,"Duplicate client ID",IF(B453="","Add client name","OK")))</f>
        <v/>
      </c>
    </row>
    <row r="454" ht="23" customHeight="1">
      <c r="A454" s="9" t="n"/>
      <c r="B454" s="10" t="n"/>
      <c r="C454" s="10" t="n"/>
      <c r="D454" s="9" t="n"/>
      <c r="E454" s="10" t="n"/>
      <c r="F454" s="12">
        <f>IF(A454="","",COUNTIF(Sales!$D$2:$D$501,A454))</f>
        <v/>
      </c>
      <c r="G454" s="13">
        <f>IF(A454="","",SUMIF(Sales!$D$2:$D$501,A454,Sales!$G$2:$G$501))</f>
        <v/>
      </c>
      <c r="H454" s="12">
        <f>IF(A454="","",IF(COUNTIF($A$2:$A$501,A454)&gt;1,"Duplicate client ID",IF(B454="","Add client name","OK")))</f>
        <v/>
      </c>
    </row>
    <row r="455" ht="23" customHeight="1">
      <c r="A455" s="14" t="n"/>
      <c r="B455" s="15" t="n"/>
      <c r="C455" s="15" t="n"/>
      <c r="D455" s="14" t="n"/>
      <c r="E455" s="15" t="n"/>
      <c r="F455" s="12">
        <f>IF(A455="","",COUNTIF(Sales!$D$2:$D$501,A455))</f>
        <v/>
      </c>
      <c r="G455" s="13">
        <f>IF(A455="","",SUMIF(Sales!$D$2:$D$501,A455,Sales!$G$2:$G$501))</f>
        <v/>
      </c>
      <c r="H455" s="12">
        <f>IF(A455="","",IF(COUNTIF($A$2:$A$501,A455)&gt;1,"Duplicate client ID",IF(B455="","Add client name","OK")))</f>
        <v/>
      </c>
    </row>
    <row r="456" ht="23" customHeight="1">
      <c r="A456" s="9" t="n"/>
      <c r="B456" s="10" t="n"/>
      <c r="C456" s="10" t="n"/>
      <c r="D456" s="9" t="n"/>
      <c r="E456" s="10" t="n"/>
      <c r="F456" s="12">
        <f>IF(A456="","",COUNTIF(Sales!$D$2:$D$501,A456))</f>
        <v/>
      </c>
      <c r="G456" s="13">
        <f>IF(A456="","",SUMIF(Sales!$D$2:$D$501,A456,Sales!$G$2:$G$501))</f>
        <v/>
      </c>
      <c r="H456" s="12">
        <f>IF(A456="","",IF(COUNTIF($A$2:$A$501,A456)&gt;1,"Duplicate client ID",IF(B456="","Add client name","OK")))</f>
        <v/>
      </c>
    </row>
    <row r="457" ht="23" customHeight="1">
      <c r="A457" s="14" t="n"/>
      <c r="B457" s="15" t="n"/>
      <c r="C457" s="15" t="n"/>
      <c r="D457" s="14" t="n"/>
      <c r="E457" s="15" t="n"/>
      <c r="F457" s="12">
        <f>IF(A457="","",COUNTIF(Sales!$D$2:$D$501,A457))</f>
        <v/>
      </c>
      <c r="G457" s="13">
        <f>IF(A457="","",SUMIF(Sales!$D$2:$D$501,A457,Sales!$G$2:$G$501))</f>
        <v/>
      </c>
      <c r="H457" s="12">
        <f>IF(A457="","",IF(COUNTIF($A$2:$A$501,A457)&gt;1,"Duplicate client ID",IF(B457="","Add client name","OK")))</f>
        <v/>
      </c>
    </row>
    <row r="458" ht="23" customHeight="1">
      <c r="A458" s="9" t="n"/>
      <c r="B458" s="10" t="n"/>
      <c r="C458" s="10" t="n"/>
      <c r="D458" s="9" t="n"/>
      <c r="E458" s="10" t="n"/>
      <c r="F458" s="12">
        <f>IF(A458="","",COUNTIF(Sales!$D$2:$D$501,A458))</f>
        <v/>
      </c>
      <c r="G458" s="13">
        <f>IF(A458="","",SUMIF(Sales!$D$2:$D$501,A458,Sales!$G$2:$G$501))</f>
        <v/>
      </c>
      <c r="H458" s="12">
        <f>IF(A458="","",IF(COUNTIF($A$2:$A$501,A458)&gt;1,"Duplicate client ID",IF(B458="","Add client name","OK")))</f>
        <v/>
      </c>
    </row>
    <row r="459" ht="23" customHeight="1">
      <c r="A459" s="14" t="n"/>
      <c r="B459" s="15" t="n"/>
      <c r="C459" s="15" t="n"/>
      <c r="D459" s="14" t="n"/>
      <c r="E459" s="15" t="n"/>
      <c r="F459" s="12">
        <f>IF(A459="","",COUNTIF(Sales!$D$2:$D$501,A459))</f>
        <v/>
      </c>
      <c r="G459" s="13">
        <f>IF(A459="","",SUMIF(Sales!$D$2:$D$501,A459,Sales!$G$2:$G$501))</f>
        <v/>
      </c>
      <c r="H459" s="12">
        <f>IF(A459="","",IF(COUNTIF($A$2:$A$501,A459)&gt;1,"Duplicate client ID",IF(B459="","Add client name","OK")))</f>
        <v/>
      </c>
    </row>
    <row r="460" ht="23" customHeight="1">
      <c r="A460" s="9" t="n"/>
      <c r="B460" s="10" t="n"/>
      <c r="C460" s="10" t="n"/>
      <c r="D460" s="9" t="n"/>
      <c r="E460" s="10" t="n"/>
      <c r="F460" s="12">
        <f>IF(A460="","",COUNTIF(Sales!$D$2:$D$501,A460))</f>
        <v/>
      </c>
      <c r="G460" s="13">
        <f>IF(A460="","",SUMIF(Sales!$D$2:$D$501,A460,Sales!$G$2:$G$501))</f>
        <v/>
      </c>
      <c r="H460" s="12">
        <f>IF(A460="","",IF(COUNTIF($A$2:$A$501,A460)&gt;1,"Duplicate client ID",IF(B460="","Add client name","OK")))</f>
        <v/>
      </c>
    </row>
    <row r="461" ht="23" customHeight="1">
      <c r="A461" s="14" t="n"/>
      <c r="B461" s="15" t="n"/>
      <c r="C461" s="15" t="n"/>
      <c r="D461" s="14" t="n"/>
      <c r="E461" s="15" t="n"/>
      <c r="F461" s="12">
        <f>IF(A461="","",COUNTIF(Sales!$D$2:$D$501,A461))</f>
        <v/>
      </c>
      <c r="G461" s="13">
        <f>IF(A461="","",SUMIF(Sales!$D$2:$D$501,A461,Sales!$G$2:$G$501))</f>
        <v/>
      </c>
      <c r="H461" s="12">
        <f>IF(A461="","",IF(COUNTIF($A$2:$A$501,A461)&gt;1,"Duplicate client ID",IF(B461="","Add client name","OK")))</f>
        <v/>
      </c>
    </row>
    <row r="462" ht="23" customHeight="1">
      <c r="A462" s="9" t="n"/>
      <c r="B462" s="10" t="n"/>
      <c r="C462" s="10" t="n"/>
      <c r="D462" s="9" t="n"/>
      <c r="E462" s="10" t="n"/>
      <c r="F462" s="12">
        <f>IF(A462="","",COUNTIF(Sales!$D$2:$D$501,A462))</f>
        <v/>
      </c>
      <c r="G462" s="13">
        <f>IF(A462="","",SUMIF(Sales!$D$2:$D$501,A462,Sales!$G$2:$G$501))</f>
        <v/>
      </c>
      <c r="H462" s="12">
        <f>IF(A462="","",IF(COUNTIF($A$2:$A$501,A462)&gt;1,"Duplicate client ID",IF(B462="","Add client name","OK")))</f>
        <v/>
      </c>
    </row>
    <row r="463" ht="23" customHeight="1">
      <c r="A463" s="14" t="n"/>
      <c r="B463" s="15" t="n"/>
      <c r="C463" s="15" t="n"/>
      <c r="D463" s="14" t="n"/>
      <c r="E463" s="15" t="n"/>
      <c r="F463" s="12">
        <f>IF(A463="","",COUNTIF(Sales!$D$2:$D$501,A463))</f>
        <v/>
      </c>
      <c r="G463" s="13">
        <f>IF(A463="","",SUMIF(Sales!$D$2:$D$501,A463,Sales!$G$2:$G$501))</f>
        <v/>
      </c>
      <c r="H463" s="12">
        <f>IF(A463="","",IF(COUNTIF($A$2:$A$501,A463)&gt;1,"Duplicate client ID",IF(B463="","Add client name","OK")))</f>
        <v/>
      </c>
    </row>
    <row r="464" ht="23" customHeight="1">
      <c r="A464" s="9" t="n"/>
      <c r="B464" s="10" t="n"/>
      <c r="C464" s="10" t="n"/>
      <c r="D464" s="9" t="n"/>
      <c r="E464" s="10" t="n"/>
      <c r="F464" s="12">
        <f>IF(A464="","",COUNTIF(Sales!$D$2:$D$501,A464))</f>
        <v/>
      </c>
      <c r="G464" s="13">
        <f>IF(A464="","",SUMIF(Sales!$D$2:$D$501,A464,Sales!$G$2:$G$501))</f>
        <v/>
      </c>
      <c r="H464" s="12">
        <f>IF(A464="","",IF(COUNTIF($A$2:$A$501,A464)&gt;1,"Duplicate client ID",IF(B464="","Add client name","OK")))</f>
        <v/>
      </c>
    </row>
    <row r="465" ht="23" customHeight="1">
      <c r="A465" s="14" t="n"/>
      <c r="B465" s="15" t="n"/>
      <c r="C465" s="15" t="n"/>
      <c r="D465" s="14" t="n"/>
      <c r="E465" s="15" t="n"/>
      <c r="F465" s="12">
        <f>IF(A465="","",COUNTIF(Sales!$D$2:$D$501,A465))</f>
        <v/>
      </c>
      <c r="G465" s="13">
        <f>IF(A465="","",SUMIF(Sales!$D$2:$D$501,A465,Sales!$G$2:$G$501))</f>
        <v/>
      </c>
      <c r="H465" s="12">
        <f>IF(A465="","",IF(COUNTIF($A$2:$A$501,A465)&gt;1,"Duplicate client ID",IF(B465="","Add client name","OK")))</f>
        <v/>
      </c>
    </row>
    <row r="466" ht="23" customHeight="1">
      <c r="A466" s="9" t="n"/>
      <c r="B466" s="10" t="n"/>
      <c r="C466" s="10" t="n"/>
      <c r="D466" s="9" t="n"/>
      <c r="E466" s="10" t="n"/>
      <c r="F466" s="12">
        <f>IF(A466="","",COUNTIF(Sales!$D$2:$D$501,A466))</f>
        <v/>
      </c>
      <c r="G466" s="13">
        <f>IF(A466="","",SUMIF(Sales!$D$2:$D$501,A466,Sales!$G$2:$G$501))</f>
        <v/>
      </c>
      <c r="H466" s="12">
        <f>IF(A466="","",IF(COUNTIF($A$2:$A$501,A466)&gt;1,"Duplicate client ID",IF(B466="","Add client name","OK")))</f>
        <v/>
      </c>
    </row>
    <row r="467" ht="23" customHeight="1">
      <c r="A467" s="14" t="n"/>
      <c r="B467" s="15" t="n"/>
      <c r="C467" s="15" t="n"/>
      <c r="D467" s="14" t="n"/>
      <c r="E467" s="15" t="n"/>
      <c r="F467" s="12">
        <f>IF(A467="","",COUNTIF(Sales!$D$2:$D$501,A467))</f>
        <v/>
      </c>
      <c r="G467" s="13">
        <f>IF(A467="","",SUMIF(Sales!$D$2:$D$501,A467,Sales!$G$2:$G$501))</f>
        <v/>
      </c>
      <c r="H467" s="12">
        <f>IF(A467="","",IF(COUNTIF($A$2:$A$501,A467)&gt;1,"Duplicate client ID",IF(B467="","Add client name","OK")))</f>
        <v/>
      </c>
    </row>
    <row r="468" ht="23" customHeight="1">
      <c r="A468" s="9" t="n"/>
      <c r="B468" s="10" t="n"/>
      <c r="C468" s="10" t="n"/>
      <c r="D468" s="9" t="n"/>
      <c r="E468" s="10" t="n"/>
      <c r="F468" s="12">
        <f>IF(A468="","",COUNTIF(Sales!$D$2:$D$501,A468))</f>
        <v/>
      </c>
      <c r="G468" s="13">
        <f>IF(A468="","",SUMIF(Sales!$D$2:$D$501,A468,Sales!$G$2:$G$501))</f>
        <v/>
      </c>
      <c r="H468" s="12">
        <f>IF(A468="","",IF(COUNTIF($A$2:$A$501,A468)&gt;1,"Duplicate client ID",IF(B468="","Add client name","OK")))</f>
        <v/>
      </c>
    </row>
    <row r="469" ht="23" customHeight="1">
      <c r="A469" s="14" t="n"/>
      <c r="B469" s="15" t="n"/>
      <c r="C469" s="15" t="n"/>
      <c r="D469" s="14" t="n"/>
      <c r="E469" s="15" t="n"/>
      <c r="F469" s="12">
        <f>IF(A469="","",COUNTIF(Sales!$D$2:$D$501,A469))</f>
        <v/>
      </c>
      <c r="G469" s="13">
        <f>IF(A469="","",SUMIF(Sales!$D$2:$D$501,A469,Sales!$G$2:$G$501))</f>
        <v/>
      </c>
      <c r="H469" s="12">
        <f>IF(A469="","",IF(COUNTIF($A$2:$A$501,A469)&gt;1,"Duplicate client ID",IF(B469="","Add client name","OK")))</f>
        <v/>
      </c>
    </row>
    <row r="470" ht="23" customHeight="1">
      <c r="A470" s="9" t="n"/>
      <c r="B470" s="10" t="n"/>
      <c r="C470" s="10" t="n"/>
      <c r="D470" s="9" t="n"/>
      <c r="E470" s="10" t="n"/>
      <c r="F470" s="12">
        <f>IF(A470="","",COUNTIF(Sales!$D$2:$D$501,A470))</f>
        <v/>
      </c>
      <c r="G470" s="13">
        <f>IF(A470="","",SUMIF(Sales!$D$2:$D$501,A470,Sales!$G$2:$G$501))</f>
        <v/>
      </c>
      <c r="H470" s="12">
        <f>IF(A470="","",IF(COUNTIF($A$2:$A$501,A470)&gt;1,"Duplicate client ID",IF(B470="","Add client name","OK")))</f>
        <v/>
      </c>
    </row>
    <row r="471" ht="23" customHeight="1">
      <c r="A471" s="14" t="n"/>
      <c r="B471" s="15" t="n"/>
      <c r="C471" s="15" t="n"/>
      <c r="D471" s="14" t="n"/>
      <c r="E471" s="15" t="n"/>
      <c r="F471" s="12">
        <f>IF(A471="","",COUNTIF(Sales!$D$2:$D$501,A471))</f>
        <v/>
      </c>
      <c r="G471" s="13">
        <f>IF(A471="","",SUMIF(Sales!$D$2:$D$501,A471,Sales!$G$2:$G$501))</f>
        <v/>
      </c>
      <c r="H471" s="12">
        <f>IF(A471="","",IF(COUNTIF($A$2:$A$501,A471)&gt;1,"Duplicate client ID",IF(B471="","Add client name","OK")))</f>
        <v/>
      </c>
    </row>
    <row r="472" ht="23" customHeight="1">
      <c r="A472" s="9" t="n"/>
      <c r="B472" s="10" t="n"/>
      <c r="C472" s="10" t="n"/>
      <c r="D472" s="9" t="n"/>
      <c r="E472" s="10" t="n"/>
      <c r="F472" s="12">
        <f>IF(A472="","",COUNTIF(Sales!$D$2:$D$501,A472))</f>
        <v/>
      </c>
      <c r="G472" s="13">
        <f>IF(A472="","",SUMIF(Sales!$D$2:$D$501,A472,Sales!$G$2:$G$501))</f>
        <v/>
      </c>
      <c r="H472" s="12">
        <f>IF(A472="","",IF(COUNTIF($A$2:$A$501,A472)&gt;1,"Duplicate client ID",IF(B472="","Add client name","OK")))</f>
        <v/>
      </c>
    </row>
    <row r="473" ht="23" customHeight="1">
      <c r="A473" s="14" t="n"/>
      <c r="B473" s="15" t="n"/>
      <c r="C473" s="15" t="n"/>
      <c r="D473" s="14" t="n"/>
      <c r="E473" s="15" t="n"/>
      <c r="F473" s="12">
        <f>IF(A473="","",COUNTIF(Sales!$D$2:$D$501,A473))</f>
        <v/>
      </c>
      <c r="G473" s="13">
        <f>IF(A473="","",SUMIF(Sales!$D$2:$D$501,A473,Sales!$G$2:$G$501))</f>
        <v/>
      </c>
      <c r="H473" s="12">
        <f>IF(A473="","",IF(COUNTIF($A$2:$A$501,A473)&gt;1,"Duplicate client ID",IF(B473="","Add client name","OK")))</f>
        <v/>
      </c>
    </row>
    <row r="474" ht="23" customHeight="1">
      <c r="A474" s="9" t="n"/>
      <c r="B474" s="10" t="n"/>
      <c r="C474" s="10" t="n"/>
      <c r="D474" s="9" t="n"/>
      <c r="E474" s="10" t="n"/>
      <c r="F474" s="12">
        <f>IF(A474="","",COUNTIF(Sales!$D$2:$D$501,A474))</f>
        <v/>
      </c>
      <c r="G474" s="13">
        <f>IF(A474="","",SUMIF(Sales!$D$2:$D$501,A474,Sales!$G$2:$G$501))</f>
        <v/>
      </c>
      <c r="H474" s="12">
        <f>IF(A474="","",IF(COUNTIF($A$2:$A$501,A474)&gt;1,"Duplicate client ID",IF(B474="","Add client name","OK")))</f>
        <v/>
      </c>
    </row>
    <row r="475" ht="23" customHeight="1">
      <c r="A475" s="14" t="n"/>
      <c r="B475" s="15" t="n"/>
      <c r="C475" s="15" t="n"/>
      <c r="D475" s="14" t="n"/>
      <c r="E475" s="15" t="n"/>
      <c r="F475" s="12">
        <f>IF(A475="","",COUNTIF(Sales!$D$2:$D$501,A475))</f>
        <v/>
      </c>
      <c r="G475" s="13">
        <f>IF(A475="","",SUMIF(Sales!$D$2:$D$501,A475,Sales!$G$2:$G$501))</f>
        <v/>
      </c>
      <c r="H475" s="12">
        <f>IF(A475="","",IF(COUNTIF($A$2:$A$501,A475)&gt;1,"Duplicate client ID",IF(B475="","Add client name","OK")))</f>
        <v/>
      </c>
    </row>
    <row r="476" ht="23" customHeight="1">
      <c r="A476" s="9" t="n"/>
      <c r="B476" s="10" t="n"/>
      <c r="C476" s="10" t="n"/>
      <c r="D476" s="9" t="n"/>
      <c r="E476" s="10" t="n"/>
      <c r="F476" s="12">
        <f>IF(A476="","",COUNTIF(Sales!$D$2:$D$501,A476))</f>
        <v/>
      </c>
      <c r="G476" s="13">
        <f>IF(A476="","",SUMIF(Sales!$D$2:$D$501,A476,Sales!$G$2:$G$501))</f>
        <v/>
      </c>
      <c r="H476" s="12">
        <f>IF(A476="","",IF(COUNTIF($A$2:$A$501,A476)&gt;1,"Duplicate client ID",IF(B476="","Add client name","OK")))</f>
        <v/>
      </c>
    </row>
    <row r="477" ht="23" customHeight="1">
      <c r="A477" s="14" t="n"/>
      <c r="B477" s="15" t="n"/>
      <c r="C477" s="15" t="n"/>
      <c r="D477" s="14" t="n"/>
      <c r="E477" s="15" t="n"/>
      <c r="F477" s="12">
        <f>IF(A477="","",COUNTIF(Sales!$D$2:$D$501,A477))</f>
        <v/>
      </c>
      <c r="G477" s="13">
        <f>IF(A477="","",SUMIF(Sales!$D$2:$D$501,A477,Sales!$G$2:$G$501))</f>
        <v/>
      </c>
      <c r="H477" s="12">
        <f>IF(A477="","",IF(COUNTIF($A$2:$A$501,A477)&gt;1,"Duplicate client ID",IF(B477="","Add client name","OK")))</f>
        <v/>
      </c>
    </row>
    <row r="478" ht="23" customHeight="1">
      <c r="A478" s="9" t="n"/>
      <c r="B478" s="10" t="n"/>
      <c r="C478" s="10" t="n"/>
      <c r="D478" s="9" t="n"/>
      <c r="E478" s="10" t="n"/>
      <c r="F478" s="12">
        <f>IF(A478="","",COUNTIF(Sales!$D$2:$D$501,A478))</f>
        <v/>
      </c>
      <c r="G478" s="13">
        <f>IF(A478="","",SUMIF(Sales!$D$2:$D$501,A478,Sales!$G$2:$G$501))</f>
        <v/>
      </c>
      <c r="H478" s="12">
        <f>IF(A478="","",IF(COUNTIF($A$2:$A$501,A478)&gt;1,"Duplicate client ID",IF(B478="","Add client name","OK")))</f>
        <v/>
      </c>
    </row>
    <row r="479" ht="23" customHeight="1">
      <c r="A479" s="14" t="n"/>
      <c r="B479" s="15" t="n"/>
      <c r="C479" s="15" t="n"/>
      <c r="D479" s="14" t="n"/>
      <c r="E479" s="15" t="n"/>
      <c r="F479" s="12">
        <f>IF(A479="","",COUNTIF(Sales!$D$2:$D$501,A479))</f>
        <v/>
      </c>
      <c r="G479" s="13">
        <f>IF(A479="","",SUMIF(Sales!$D$2:$D$501,A479,Sales!$G$2:$G$501))</f>
        <v/>
      </c>
      <c r="H479" s="12">
        <f>IF(A479="","",IF(COUNTIF($A$2:$A$501,A479)&gt;1,"Duplicate client ID",IF(B479="","Add client name","OK")))</f>
        <v/>
      </c>
    </row>
    <row r="480" ht="23" customHeight="1">
      <c r="A480" s="9" t="n"/>
      <c r="B480" s="10" t="n"/>
      <c r="C480" s="10" t="n"/>
      <c r="D480" s="9" t="n"/>
      <c r="E480" s="10" t="n"/>
      <c r="F480" s="12">
        <f>IF(A480="","",COUNTIF(Sales!$D$2:$D$501,A480))</f>
        <v/>
      </c>
      <c r="G480" s="13">
        <f>IF(A480="","",SUMIF(Sales!$D$2:$D$501,A480,Sales!$G$2:$G$501))</f>
        <v/>
      </c>
      <c r="H480" s="12">
        <f>IF(A480="","",IF(COUNTIF($A$2:$A$501,A480)&gt;1,"Duplicate client ID",IF(B480="","Add client name","OK")))</f>
        <v/>
      </c>
    </row>
    <row r="481" ht="23" customHeight="1">
      <c r="A481" s="14" t="n"/>
      <c r="B481" s="15" t="n"/>
      <c r="C481" s="15" t="n"/>
      <c r="D481" s="14" t="n"/>
      <c r="E481" s="15" t="n"/>
      <c r="F481" s="12">
        <f>IF(A481="","",COUNTIF(Sales!$D$2:$D$501,A481))</f>
        <v/>
      </c>
      <c r="G481" s="13">
        <f>IF(A481="","",SUMIF(Sales!$D$2:$D$501,A481,Sales!$G$2:$G$501))</f>
        <v/>
      </c>
      <c r="H481" s="12">
        <f>IF(A481="","",IF(COUNTIF($A$2:$A$501,A481)&gt;1,"Duplicate client ID",IF(B481="","Add client name","OK")))</f>
        <v/>
      </c>
    </row>
    <row r="482" ht="23" customHeight="1">
      <c r="A482" s="9" t="n"/>
      <c r="B482" s="10" t="n"/>
      <c r="C482" s="10" t="n"/>
      <c r="D482" s="9" t="n"/>
      <c r="E482" s="10" t="n"/>
      <c r="F482" s="12">
        <f>IF(A482="","",COUNTIF(Sales!$D$2:$D$501,A482))</f>
        <v/>
      </c>
      <c r="G482" s="13">
        <f>IF(A482="","",SUMIF(Sales!$D$2:$D$501,A482,Sales!$G$2:$G$501))</f>
        <v/>
      </c>
      <c r="H482" s="12">
        <f>IF(A482="","",IF(COUNTIF($A$2:$A$501,A482)&gt;1,"Duplicate client ID",IF(B482="","Add client name","OK")))</f>
        <v/>
      </c>
    </row>
    <row r="483" ht="23" customHeight="1">
      <c r="A483" s="14" t="n"/>
      <c r="B483" s="15" t="n"/>
      <c r="C483" s="15" t="n"/>
      <c r="D483" s="14" t="n"/>
      <c r="E483" s="15" t="n"/>
      <c r="F483" s="12">
        <f>IF(A483="","",COUNTIF(Sales!$D$2:$D$501,A483))</f>
        <v/>
      </c>
      <c r="G483" s="13">
        <f>IF(A483="","",SUMIF(Sales!$D$2:$D$501,A483,Sales!$G$2:$G$501))</f>
        <v/>
      </c>
      <c r="H483" s="12">
        <f>IF(A483="","",IF(COUNTIF($A$2:$A$501,A483)&gt;1,"Duplicate client ID",IF(B483="","Add client name","OK")))</f>
        <v/>
      </c>
    </row>
    <row r="484" ht="23" customHeight="1">
      <c r="A484" s="9" t="n"/>
      <c r="B484" s="10" t="n"/>
      <c r="C484" s="10" t="n"/>
      <c r="D484" s="9" t="n"/>
      <c r="E484" s="10" t="n"/>
      <c r="F484" s="12">
        <f>IF(A484="","",COUNTIF(Sales!$D$2:$D$501,A484))</f>
        <v/>
      </c>
      <c r="G484" s="13">
        <f>IF(A484="","",SUMIF(Sales!$D$2:$D$501,A484,Sales!$G$2:$G$501))</f>
        <v/>
      </c>
      <c r="H484" s="12">
        <f>IF(A484="","",IF(COUNTIF($A$2:$A$501,A484)&gt;1,"Duplicate client ID",IF(B484="","Add client name","OK")))</f>
        <v/>
      </c>
    </row>
    <row r="485" ht="23" customHeight="1">
      <c r="A485" s="14" t="n"/>
      <c r="B485" s="15" t="n"/>
      <c r="C485" s="15" t="n"/>
      <c r="D485" s="14" t="n"/>
      <c r="E485" s="15" t="n"/>
      <c r="F485" s="12">
        <f>IF(A485="","",COUNTIF(Sales!$D$2:$D$501,A485))</f>
        <v/>
      </c>
      <c r="G485" s="13">
        <f>IF(A485="","",SUMIF(Sales!$D$2:$D$501,A485,Sales!$G$2:$G$501))</f>
        <v/>
      </c>
      <c r="H485" s="12">
        <f>IF(A485="","",IF(COUNTIF($A$2:$A$501,A485)&gt;1,"Duplicate client ID",IF(B485="","Add client name","OK")))</f>
        <v/>
      </c>
    </row>
    <row r="486" ht="23" customHeight="1">
      <c r="A486" s="9" t="n"/>
      <c r="B486" s="10" t="n"/>
      <c r="C486" s="10" t="n"/>
      <c r="D486" s="9" t="n"/>
      <c r="E486" s="10" t="n"/>
      <c r="F486" s="12">
        <f>IF(A486="","",COUNTIF(Sales!$D$2:$D$501,A486))</f>
        <v/>
      </c>
      <c r="G486" s="13">
        <f>IF(A486="","",SUMIF(Sales!$D$2:$D$501,A486,Sales!$G$2:$G$501))</f>
        <v/>
      </c>
      <c r="H486" s="12">
        <f>IF(A486="","",IF(COUNTIF($A$2:$A$501,A486)&gt;1,"Duplicate client ID",IF(B486="","Add client name","OK")))</f>
        <v/>
      </c>
    </row>
    <row r="487" ht="23" customHeight="1">
      <c r="A487" s="14" t="n"/>
      <c r="B487" s="15" t="n"/>
      <c r="C487" s="15" t="n"/>
      <c r="D487" s="14" t="n"/>
      <c r="E487" s="15" t="n"/>
      <c r="F487" s="12">
        <f>IF(A487="","",COUNTIF(Sales!$D$2:$D$501,A487))</f>
        <v/>
      </c>
      <c r="G487" s="13">
        <f>IF(A487="","",SUMIF(Sales!$D$2:$D$501,A487,Sales!$G$2:$G$501))</f>
        <v/>
      </c>
      <c r="H487" s="12">
        <f>IF(A487="","",IF(COUNTIF($A$2:$A$501,A487)&gt;1,"Duplicate client ID",IF(B487="","Add client name","OK")))</f>
        <v/>
      </c>
    </row>
    <row r="488" ht="23" customHeight="1">
      <c r="A488" s="9" t="n"/>
      <c r="B488" s="10" t="n"/>
      <c r="C488" s="10" t="n"/>
      <c r="D488" s="9" t="n"/>
      <c r="E488" s="10" t="n"/>
      <c r="F488" s="12">
        <f>IF(A488="","",COUNTIF(Sales!$D$2:$D$501,A488))</f>
        <v/>
      </c>
      <c r="G488" s="13">
        <f>IF(A488="","",SUMIF(Sales!$D$2:$D$501,A488,Sales!$G$2:$G$501))</f>
        <v/>
      </c>
      <c r="H488" s="12">
        <f>IF(A488="","",IF(COUNTIF($A$2:$A$501,A488)&gt;1,"Duplicate client ID",IF(B488="","Add client name","OK")))</f>
        <v/>
      </c>
    </row>
    <row r="489" ht="23" customHeight="1">
      <c r="A489" s="14" t="n"/>
      <c r="B489" s="15" t="n"/>
      <c r="C489" s="15" t="n"/>
      <c r="D489" s="14" t="n"/>
      <c r="E489" s="15" t="n"/>
      <c r="F489" s="12">
        <f>IF(A489="","",COUNTIF(Sales!$D$2:$D$501,A489))</f>
        <v/>
      </c>
      <c r="G489" s="13">
        <f>IF(A489="","",SUMIF(Sales!$D$2:$D$501,A489,Sales!$G$2:$G$501))</f>
        <v/>
      </c>
      <c r="H489" s="12">
        <f>IF(A489="","",IF(COUNTIF($A$2:$A$501,A489)&gt;1,"Duplicate client ID",IF(B489="","Add client name","OK")))</f>
        <v/>
      </c>
    </row>
    <row r="490" ht="23" customHeight="1">
      <c r="A490" s="9" t="n"/>
      <c r="B490" s="10" t="n"/>
      <c r="C490" s="10" t="n"/>
      <c r="D490" s="9" t="n"/>
      <c r="E490" s="10" t="n"/>
      <c r="F490" s="12">
        <f>IF(A490="","",COUNTIF(Sales!$D$2:$D$501,A490))</f>
        <v/>
      </c>
      <c r="G490" s="13">
        <f>IF(A490="","",SUMIF(Sales!$D$2:$D$501,A490,Sales!$G$2:$G$501))</f>
        <v/>
      </c>
      <c r="H490" s="12">
        <f>IF(A490="","",IF(COUNTIF($A$2:$A$501,A490)&gt;1,"Duplicate client ID",IF(B490="","Add client name","OK")))</f>
        <v/>
      </c>
    </row>
    <row r="491" ht="23" customHeight="1">
      <c r="A491" s="14" t="n"/>
      <c r="B491" s="15" t="n"/>
      <c r="C491" s="15" t="n"/>
      <c r="D491" s="14" t="n"/>
      <c r="E491" s="15" t="n"/>
      <c r="F491" s="12">
        <f>IF(A491="","",COUNTIF(Sales!$D$2:$D$501,A491))</f>
        <v/>
      </c>
      <c r="G491" s="13">
        <f>IF(A491="","",SUMIF(Sales!$D$2:$D$501,A491,Sales!$G$2:$G$501))</f>
        <v/>
      </c>
      <c r="H491" s="12">
        <f>IF(A491="","",IF(COUNTIF($A$2:$A$501,A491)&gt;1,"Duplicate client ID",IF(B491="","Add client name","OK")))</f>
        <v/>
      </c>
    </row>
    <row r="492" ht="23" customHeight="1">
      <c r="A492" s="9" t="n"/>
      <c r="B492" s="10" t="n"/>
      <c r="C492" s="10" t="n"/>
      <c r="D492" s="9" t="n"/>
      <c r="E492" s="10" t="n"/>
      <c r="F492" s="12">
        <f>IF(A492="","",COUNTIF(Sales!$D$2:$D$501,A492))</f>
        <v/>
      </c>
      <c r="G492" s="13">
        <f>IF(A492="","",SUMIF(Sales!$D$2:$D$501,A492,Sales!$G$2:$G$501))</f>
        <v/>
      </c>
      <c r="H492" s="12">
        <f>IF(A492="","",IF(COUNTIF($A$2:$A$501,A492)&gt;1,"Duplicate client ID",IF(B492="","Add client name","OK")))</f>
        <v/>
      </c>
    </row>
    <row r="493" ht="23" customHeight="1">
      <c r="A493" s="14" t="n"/>
      <c r="B493" s="15" t="n"/>
      <c r="C493" s="15" t="n"/>
      <c r="D493" s="14" t="n"/>
      <c r="E493" s="15" t="n"/>
      <c r="F493" s="12">
        <f>IF(A493="","",COUNTIF(Sales!$D$2:$D$501,A493))</f>
        <v/>
      </c>
      <c r="G493" s="13">
        <f>IF(A493="","",SUMIF(Sales!$D$2:$D$501,A493,Sales!$G$2:$G$501))</f>
        <v/>
      </c>
      <c r="H493" s="12">
        <f>IF(A493="","",IF(COUNTIF($A$2:$A$501,A493)&gt;1,"Duplicate client ID",IF(B493="","Add client name","OK")))</f>
        <v/>
      </c>
    </row>
    <row r="494" ht="23" customHeight="1">
      <c r="A494" s="9" t="n"/>
      <c r="B494" s="10" t="n"/>
      <c r="C494" s="10" t="n"/>
      <c r="D494" s="9" t="n"/>
      <c r="E494" s="10" t="n"/>
      <c r="F494" s="12">
        <f>IF(A494="","",COUNTIF(Sales!$D$2:$D$501,A494))</f>
        <v/>
      </c>
      <c r="G494" s="13">
        <f>IF(A494="","",SUMIF(Sales!$D$2:$D$501,A494,Sales!$G$2:$G$501))</f>
        <v/>
      </c>
      <c r="H494" s="12">
        <f>IF(A494="","",IF(COUNTIF($A$2:$A$501,A494)&gt;1,"Duplicate client ID",IF(B494="","Add client name","OK")))</f>
        <v/>
      </c>
    </row>
    <row r="495" ht="23" customHeight="1">
      <c r="A495" s="14" t="n"/>
      <c r="B495" s="15" t="n"/>
      <c r="C495" s="15" t="n"/>
      <c r="D495" s="14" t="n"/>
      <c r="E495" s="15" t="n"/>
      <c r="F495" s="12">
        <f>IF(A495="","",COUNTIF(Sales!$D$2:$D$501,A495))</f>
        <v/>
      </c>
      <c r="G495" s="13">
        <f>IF(A495="","",SUMIF(Sales!$D$2:$D$501,A495,Sales!$G$2:$G$501))</f>
        <v/>
      </c>
      <c r="H495" s="12">
        <f>IF(A495="","",IF(COUNTIF($A$2:$A$501,A495)&gt;1,"Duplicate client ID",IF(B495="","Add client name","OK")))</f>
        <v/>
      </c>
    </row>
    <row r="496" ht="23" customHeight="1">
      <c r="A496" s="9" t="n"/>
      <c r="B496" s="10" t="n"/>
      <c r="C496" s="10" t="n"/>
      <c r="D496" s="9" t="n"/>
      <c r="E496" s="10" t="n"/>
      <c r="F496" s="12">
        <f>IF(A496="","",COUNTIF(Sales!$D$2:$D$501,A496))</f>
        <v/>
      </c>
      <c r="G496" s="13">
        <f>IF(A496="","",SUMIF(Sales!$D$2:$D$501,A496,Sales!$G$2:$G$501))</f>
        <v/>
      </c>
      <c r="H496" s="12">
        <f>IF(A496="","",IF(COUNTIF($A$2:$A$501,A496)&gt;1,"Duplicate client ID",IF(B496="","Add client name","OK")))</f>
        <v/>
      </c>
    </row>
    <row r="497" ht="23" customHeight="1">
      <c r="A497" s="14" t="n"/>
      <c r="B497" s="15" t="n"/>
      <c r="C497" s="15" t="n"/>
      <c r="D497" s="14" t="n"/>
      <c r="E497" s="15" t="n"/>
      <c r="F497" s="12">
        <f>IF(A497="","",COUNTIF(Sales!$D$2:$D$501,A497))</f>
        <v/>
      </c>
      <c r="G497" s="13">
        <f>IF(A497="","",SUMIF(Sales!$D$2:$D$501,A497,Sales!$G$2:$G$501))</f>
        <v/>
      </c>
      <c r="H497" s="12">
        <f>IF(A497="","",IF(COUNTIF($A$2:$A$501,A497)&gt;1,"Duplicate client ID",IF(B497="","Add client name","OK")))</f>
        <v/>
      </c>
    </row>
    <row r="498" ht="23" customHeight="1">
      <c r="A498" s="9" t="n"/>
      <c r="B498" s="10" t="n"/>
      <c r="C498" s="10" t="n"/>
      <c r="D498" s="9" t="n"/>
      <c r="E498" s="10" t="n"/>
      <c r="F498" s="12">
        <f>IF(A498="","",COUNTIF(Sales!$D$2:$D$501,A498))</f>
        <v/>
      </c>
      <c r="G498" s="13">
        <f>IF(A498="","",SUMIF(Sales!$D$2:$D$501,A498,Sales!$G$2:$G$501))</f>
        <v/>
      </c>
      <c r="H498" s="12">
        <f>IF(A498="","",IF(COUNTIF($A$2:$A$501,A498)&gt;1,"Duplicate client ID",IF(B498="","Add client name","OK")))</f>
        <v/>
      </c>
    </row>
    <row r="499" ht="23" customHeight="1">
      <c r="A499" s="14" t="n"/>
      <c r="B499" s="15" t="n"/>
      <c r="C499" s="15" t="n"/>
      <c r="D499" s="14" t="n"/>
      <c r="E499" s="15" t="n"/>
      <c r="F499" s="12">
        <f>IF(A499="","",COUNTIF(Sales!$D$2:$D$501,A499))</f>
        <v/>
      </c>
      <c r="G499" s="13">
        <f>IF(A499="","",SUMIF(Sales!$D$2:$D$501,A499,Sales!$G$2:$G$501))</f>
        <v/>
      </c>
      <c r="H499" s="12">
        <f>IF(A499="","",IF(COUNTIF($A$2:$A$501,A499)&gt;1,"Duplicate client ID",IF(B499="","Add client name","OK")))</f>
        <v/>
      </c>
    </row>
    <row r="500" ht="23" customHeight="1">
      <c r="A500" s="9" t="n"/>
      <c r="B500" s="10" t="n"/>
      <c r="C500" s="10" t="n"/>
      <c r="D500" s="9" t="n"/>
      <c r="E500" s="10" t="n"/>
      <c r="F500" s="12">
        <f>IF(A500="","",COUNTIF(Sales!$D$2:$D$501,A500))</f>
        <v/>
      </c>
      <c r="G500" s="13">
        <f>IF(A500="","",SUMIF(Sales!$D$2:$D$501,A500,Sales!$G$2:$G$501))</f>
        <v/>
      </c>
      <c r="H500" s="12">
        <f>IF(A500="","",IF(COUNTIF($A$2:$A$501,A500)&gt;1,"Duplicate client ID",IF(B500="","Add client name","OK")))</f>
        <v/>
      </c>
    </row>
    <row r="501" ht="23" customHeight="1">
      <c r="A501" s="14" t="n"/>
      <c r="B501" s="15" t="n"/>
      <c r="C501" s="15" t="n"/>
      <c r="D501" s="14" t="n"/>
      <c r="E501" s="15" t="n"/>
      <c r="F501" s="12">
        <f>IF(A501="","",COUNTIF(Sales!$D$2:$D$501,A501))</f>
        <v/>
      </c>
      <c r="G501" s="13">
        <f>IF(A501="","",SUMIF(Sales!$D$2:$D$501,A501,Sales!$G$2:$G$501))</f>
        <v/>
      </c>
      <c r="H501" s="12">
        <f>IF(A501="","",IF(COUNTIF($A$2:$A$501,A501)&gt;1,"Duplicate client ID",IF(B501="","Add client name","OK")))</f>
        <v/>
      </c>
    </row>
  </sheetData>
  <autoFilter ref="A1:H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5" customWidth="1" min="2" max="2"/>
  </cols>
  <sheetData>
    <row r="2" ht="32" customHeight="1">
      <c r="B2" s="19" t="inlineStr">
        <is>
          <t>CARDLEDGER — GOOGLE SHEETS QUICK START</t>
        </is>
      </c>
    </row>
    <row r="3" ht="45" customHeight="1">
      <c r="B3" s="20" t="inlineStr">
        <is>
          <t>Upload this XLSX to Google Drive. Right-click → Open with → Google Sheets, then File → Save as Google Sheets.</t>
        </is>
      </c>
    </row>
    <row r="4" ht="45" customHeight="1">
      <c r="B4" s="20" t="inlineStr">
        <is>
          <t>1. Inventory: use one unique Lot ID per purchase batch (example LOT-001). Enter player, sport, pieces purchased, purchase cost per card, and estimated market value per card.</t>
        </is>
      </c>
    </row>
    <row r="5" ht="45" customHeight="1">
      <c r="B5" s="20" t="inlineStr">
        <is>
          <t>2. Restocking: add a NEW inventory row with a NEW Lot ID for each purchase batch. Do not increase old purchase quantities or change old purchase costs after recording sales.</t>
        </is>
      </c>
    </row>
    <row r="6" ht="45" customHeight="1">
      <c r="B6" s="20" t="inlineStr">
        <is>
          <t>3. Clients: assign unique Client IDs (example CLI-001), then enter names, email, phone, and notes.</t>
        </is>
      </c>
    </row>
    <row r="7" ht="45" customHeight="1">
      <c r="B7" s="20" t="inlineStr">
        <is>
          <t>4. Sales: enter date, unique Sale ID (SALE-001), Lot ID, optional Client ID, quantity, sale price per card, total fees, and total shipping. Formula columns calculate revenue, cost, profit, names, and checks.</t>
        </is>
      </c>
    </row>
    <row r="8" ht="45" customHeight="1">
      <c r="B8" s="20" t="inlineStr">
        <is>
          <t>5. A sale spanning multiple lots must use one Sales row per lot, each with a unique Sale ID. Divide fees and shipping across those rows; do not count them twice.</t>
        </is>
      </c>
    </row>
    <row r="9" ht="45" customHeight="1">
      <c r="B9" s="20" t="inlineStr">
        <is>
          <t>6. Dashboard updates automatically. Check flags must be resolved before relying on totals. Overselling is flagged, but spreadsheets do not prevent simultaneous users from selling the same stock.</t>
        </is>
      </c>
    </row>
    <row r="10" ht="45" customHeight="1">
      <c r="B10" s="20" t="inlineStr">
        <is>
          <t>7. Dollar amounts are USD. Purchase costs should include acquisition costs allocated per card. Inventory market estimates are manually entered, not live prices.</t>
        </is>
      </c>
    </row>
    <row r="11" ht="45" customHeight="1">
      <c r="B11" s="20" t="inlineStr">
        <is>
          <t>8. Client spending is gross sale revenue, not net profit. Inventory price estimates can be changed; historical purchase cost must stay fixed to preserve sales profit.</t>
        </is>
      </c>
    </row>
    <row r="12" ht="45" customHeight="1">
      <c r="B12" s="20" t="inlineStr">
        <is>
          <t>9. This template supports 500 input rows per tab. To expand it, copy formulas and validation downward AND extend all ranges in formulas and dropdowns.</t>
        </is>
      </c>
    </row>
    <row r="13" ht="45" customHeight="1">
      <c r="B13" s="20" t="inlineStr">
        <is>
          <t>10. Blue cells are formulas; do not type over them. After converting to Google Sheets, use Data → Protect sheets and ranges to protect formula columns.</t>
        </is>
      </c>
    </row>
    <row r="14" ht="45" customHeight="1">
      <c r="B14" s="20" t="inlineStr">
        <is>
          <t>11. Inventory formulas: pieces in stock = pieces purchased − pieces sold. Profit = quantity × sale price − quantity × original lot cost − fees − shipping.</t>
        </is>
      </c>
    </row>
    <row r="15" ht="45" customHeight="1">
      <c r="B15" s="20" t="inlineStr">
        <is>
          <t>12. Keep Drive sharing restricted because the workbook contains client contact information. Use Google Sheets version history and regular exports for backups.</t>
        </is>
      </c>
    </row>
    <row r="16" ht="45" customHeight="1">
      <c r="B16" s="20" t="inlineStr">
        <is>
          <t>13. Correct mistakes by editing the original entry. There is no refund, return, tax, or automated card-pricing integration in this workbook.</t>
        </is>
      </c>
    </row>
    <row r="17" ht="45" customHeight="1">
      <c r="B17" s="20" t="inlineStr">
        <is>
          <t>14. Google Sheets may change validation presentation during conversion. Verify dropdowns and formulas after import. This file was generated and structurally validated; Google Sheets import has not been tested in a connected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2026-10-14T21:15:04Z</dcterms:created>
  <dcterms:modified xmlns:dcterms="http://purl.org/dc/terms/" xmlns:xsi="http://www.w3.org/2001/XMLSchema-instance" xsi:type="dcterms:W3CDTF">2026-10-14T21:15:06Z</dcterms:modified>
</cp:coreProperties>
</file>